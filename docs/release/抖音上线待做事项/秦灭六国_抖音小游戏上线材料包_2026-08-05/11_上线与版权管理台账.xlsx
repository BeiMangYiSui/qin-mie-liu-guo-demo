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a0417e115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36666edbaba4427"/>
    <x:sheet xmlns:r="http://schemas.openxmlformats.org/officeDocument/2006/relationships" name="材料清单" sheetId="2" r:id="R40a329de7d3e48c5"/>
    <x:sheet xmlns:r="http://schemas.openxmlformats.org/officeDocument/2006/relationships" name="ICP备案" sheetId="3" r:id="Rc6f4772c993e44ca"/>
    <x:sheet xmlns:r="http://schemas.openxmlformats.org/officeDocument/2006/relationships" name="隐私与域名" sheetId="4" r:id="Rb1db448c632c4225"/>
    <x:sheet xmlns:r="http://schemas.openxmlformats.org/officeDocument/2006/relationships" name="版权素材" sheetId="5" r:id="R1cb2e71d37cd404d"/>
    <x:sheet xmlns:r="http://schemas.openxmlformats.org/officeDocument/2006/relationships" name="技术整改" sheetId="6" r:id="Radba3d31943d4b7b"/>
    <x:sheet xmlns:r="http://schemas.openxmlformats.org/officeDocument/2006/relationships" name="版本提审" sheetId="7" r:id="R0a6ac6639f464b66"/>
    <x:sheet xmlns:r="http://schemas.openxmlformats.org/officeDocument/2006/relationships" name="官方来源" sheetId="8" r:id="Rc9bf8597f81f4c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sz val="10"/>
      <x:color rgb="FF5B6573"/>
      <x:name val="Carlito"/>
    </x:font>
    <x:font>
      <x:b/>
      <x:sz val="11"/>
      <x:color rgb="FF1F3A5F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4"/>
      <x:color rgb="FF1F3A5F"/>
      <x:name val="Carlito"/>
    </x:font>
    <x:font>
      <x:b/>
      <x:sz val="11"/>
      <x:color rgb="FF9B1C1C"/>
      <x:name val="Carlito"/>
    </x:font>
    <x:font>
      <x:b/>
      <x:sz val="18"/>
      <x:color rgb="FFFFFFFF"/>
      <x:name val="Arial"/>
    </x:font>
    <x:font>
      <x:sz val="10"/>
      <x:color rgb="FF5B6573"/>
      <x:name val="Arial"/>
    </x:font>
    <x:font>
      <x:sz val="11"/>
      <x:name val="Arial"/>
    </x:font>
    <x:font>
      <x:b/>
      <x:sz val="11"/>
      <x:color rgb="FF1F3A5F"/>
      <x:name val="Arial"/>
    </x:font>
    <x:font>
      <x:b/>
      <x:sz val="11"/>
      <x:color rgb="FFFFFFFF"/>
      <x:name val="Arial"/>
    </x:font>
    <x:font>
      <x:sz val="10"/>
      <x:color rgb="FF111827"/>
      <x:name val="Arial"/>
    </x:font>
    <x:font>
      <x:b/>
      <x:sz val="14"/>
      <x:color rgb="FF1F3A5F"/>
      <x:name val="Arial"/>
    </x:font>
    <x:font>
      <x:b/>
      <x:sz val="11"/>
      <x:color rgb="FF9B1C1C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E8F3EC"/>
      </x:patternFill>
    </x:fill>
    <x:fill>
      <x:patternFill patternType="solid">
        <x:fgColor rgb="FFFFF4D6"/>
      </x:patternFill>
    </x:fill>
    <x:fill>
      <x:patternFill patternType="solid">
        <x:fgColor rgb="FFFBE9E7"/>
      </x:patternFill>
    </x:fill>
    <x:fill>
      <x:patternFill patternType="solid">
        <x:fgColor rgb="FFF2F4F7"/>
      </x:patternFill>
    </x:fill>
  </x:fills>
  <x:borders count="11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4DCE6"/>
      </x:left>
      <x:right style="thin">
        <x:color rgb="FFD4DCE6"/>
      </x:right>
      <x:top style="thin">
        <x:color rgb="FFD4DCE6"/>
      </x:top>
      <x:bottom style="thin">
        <x:color rgb="FFD4DCE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4DCE6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 applyAlignment="1">
      <x:alignment horizontal="center" vertical="center" wrapText="1"/>
    </x:xf>
    <x:xf numFmtId="0" fontId="6" fillId="0" borderId="10" xfId="0" applyNumberFormat="1" applyFont="1" applyFill="1" applyBorder="1" applyAlignment="1">
      <x:alignment horizontal="center" vertical="center" wrapText="1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  <x:xf numFmtId="0" fontId="6" fillId="3" borderId="1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12" fillId="4" borderId="7" xfId="0" applyNumberFormat="1" applyFont="1" applyFill="1" applyBorder="1" applyAlignment="1">
      <x:alignment horizontal="center" vertical="center" wrapText="1"/>
    </x:xf>
    <x:xf numFmtId="0" fontId="11" fillId="3" borderId="3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3" fillId="0" borderId="8" xfId="0" applyNumberFormat="1" applyFont="1" applyFill="1" applyBorder="1" applyAlignment="1">
      <x:alignment vertical="center" wrapText="1"/>
    </x:xf>
    <x:xf numFmtId="0" fontId="14" fillId="5" borderId="8" xfId="0" applyNumberFormat="1" applyFont="1" applyFill="1" applyBorder="1" applyAlignment="1">
      <x:alignment horizontal="center" vertical="center" wrapText="1"/>
    </x:xf>
    <x:xf numFmtId="0" fontId="13" fillId="0" borderId="9" xfId="0" applyNumberFormat="1" applyFont="1" applyFill="1" applyBorder="1" applyAlignment="1">
      <x:alignment vertical="center" wrapText="1"/>
    </x:xf>
    <x:xf numFmtId="0" fontId="14" fillId="6" borderId="9" xfId="0" applyNumberFormat="1" applyFont="1" applyFill="1" applyBorder="1" applyAlignment="1">
      <x:alignment horizontal="center" vertical="center" wrapText="1"/>
    </x:xf>
    <x:xf numFmtId="0" fontId="14" fillId="7" borderId="9" xfId="0" applyNumberFormat="1" applyFont="1" applyFill="1" applyBorder="1" applyAlignment="1">
      <x:alignment horizontal="center" vertical="center" wrapText="1"/>
    </x:xf>
    <x:xf numFmtId="0" fontId="13" fillId="0" borderId="10" xfId="0" applyNumberFormat="1" applyFont="1" applyFill="1" applyBorder="1" applyAlignment="1">
      <x:alignment vertical="center" wrapText="1"/>
    </x:xf>
    <x:xf numFmtId="0" fontId="14" fillId="3" borderId="10" xfId="0" applyNumberFormat="1" applyFont="1" applyFill="1" applyBorder="1" applyAlignment="1">
      <x:alignment horizontal="center" vertical="center" wrapText="1"/>
    </x:xf>
    <x:xf numFmtId="0" fontId="11" fillId="3" borderId="5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5" fillId="7" borderId="0" xfId="0" applyNumberFormat="1" applyFont="1" applyFill="1" applyBorder="1" applyAlignment="1">
      <x:alignment vertical="center" wrapText="1"/>
    </x:xf>
    <x:xf numFmtId="0" fontId="13" fillId="8" borderId="1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9">
    <x:dxf>
      <x:font>
        <x:b/>
        <x:color rgb="FF9B1C1C"/>
      </x:font>
      <x:fill>
        <x:patternFill patternType="solid">
          <x:bgColor rgb="FFFBE9E7"/>
        </x:patternFill>
      </x:fill>
    </x:dxf>
    <x:dxf>
      <x:font>
        <x:b/>
        <x:color rgb="FF9A6B16"/>
      </x:font>
      <x:fill>
        <x:patternFill patternType="solid">
          <x:bgColor rgb="FFFFF4D6"/>
        </x:patternFill>
      </x:fill>
    </x:dxf>
    <x:dxf>
      <x:font>
        <x:b/>
        <x:color rgb="FF2F6B45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BE9E7"/>
        </x:patternFill>
      </x:fill>
    </x:dxf>
    <x:dxf>
      <x:font>
        <x:color rgb="FF9A6B16"/>
      </x:font>
      <x:fill>
        <x:patternFill patternType="solid">
          <x:bgColor rgb="FFFFF4D6"/>
        </x:patternFill>
      </x:fill>
    </x:dxf>
    <x:dxf>
      <x:font>
        <x:color rgb="FF2E74B5"/>
      </x:font>
      <x:fill>
        <x:patternFill patternType="solid">
          <x:bgColor rgb="FFE8EEF5"/>
        </x:patternFill>
      </x:fill>
    </x:dxf>
    <x:dxf>
      <x:font>
        <x:b/>
        <x:color rgb="FF2F6B45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BE9E7"/>
        </x:patternFill>
      </x:fill>
    </x:dxf>
    <x:dxf>
      <x:font>
        <x:color rgb="FF9A6B16"/>
      </x:font>
      <x:fill>
        <x:patternFill patternType="solid">
          <x:bgColor rgb="FFFFF4D6"/>
        </x:patternFill>
      </x:fill>
    </x:dxf>
    <x:dxf>
      <x:font>
        <x:color rgb="FF2E74B5"/>
      </x:font>
      <x:fill>
        <x:patternFill patternType="solid">
          <x:bgColor rgb="FFE8EEF5"/>
        </x:patternFill>
      </x:fill>
    </x:dxf>
    <x:dxf>
      <x:font>
        <x:color rgb="FF9A6B16"/>
      </x:font>
      <x:fill>
        <x:patternFill patternType="solid">
          <x:bgColor rgb="FFFFF4D6"/>
        </x:patternFill>
      </x:fill>
    </x:dxf>
    <x:dxf>
      <x:font>
        <x:b/>
        <x:color rgb="FF2F6B45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BE9E7"/>
        </x:patternFill>
      </x:fill>
    </x:dxf>
    <x:dxf>
      <x:font>
        <x:color rgb="FF9A6B16"/>
      </x:font>
      <x:fill>
        <x:patternFill patternType="solid">
          <x:bgColor rgb="FFFFF4D6"/>
        </x:patternFill>
      </x:fill>
    </x:dxf>
    <x:dxf>
      <x:font>
        <x:color rgb="FF2E74B5"/>
      </x:font>
      <x:fill>
        <x:patternFill patternType="solid">
          <x:bgColor rgb="FFE8EEF5"/>
        </x:patternFill>
      </x:fill>
    </x:dxf>
    <x:dxf>
      <x:font>
        <x:b/>
        <x:color rgb="FF9B1C1C"/>
      </x:font>
      <x:fill>
        <x:patternFill patternType="solid">
          <x:bgColor rgb="FFFBE9E7"/>
        </x:patternFill>
      </x:fill>
    </x:dxf>
    <x:dxf>
      <x:font>
        <x:b/>
        <x:color rgb="FF9A6B16"/>
      </x:font>
      <x:fill>
        <x:patternFill patternType="solid">
          <x:bgColor rgb="FFFFF4D6"/>
        </x:patternFill>
      </x:fill>
    </x:dxf>
    <x:dxf>
      <x:font>
        <x:b/>
        <x:color rgb="FF2F6B45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BE9E7"/>
        </x:patternFill>
      </x:fill>
    </x:dxf>
    <x:dxf>
      <x:font>
        <x:color rgb="FF9A6B16"/>
      </x:font>
      <x:fill>
        <x:patternFill patternType="solid">
          <x:bgColor rgb="FFFFF4D6"/>
        </x:patternFill>
      </x:fill>
    </x:dxf>
    <x:dxf>
      <x:font>
        <x:color rgb="FF2E74B5"/>
      </x:font>
      <x:fill>
        <x:patternFill patternType="solid">
          <x:bgColor rgb="FFE8EEF5"/>
        </x:patternFill>
      </x:fill>
    </x:dxf>
    <x:dxf>
      <x:font>
        <x:b/>
        <x:color rgb="FF9B1C1C"/>
      </x:font>
      <x:fill>
        <x:patternFill patternType="solid">
          <x:bgColor rgb="FFFBE9E7"/>
        </x:patternFill>
      </x:fill>
    </x:dxf>
    <x:dxf>
      <x:font>
        <x:b/>
        <x:color rgb="FF9A6B16"/>
      </x:font>
      <x:fill>
        <x:patternFill patternType="solid">
          <x:bgColor rgb="FFFFF4D6"/>
        </x:patternFill>
      </x:fill>
    </x:dxf>
    <x:dxf>
      <x:font>
        <x:b/>
        <x:color rgb="FF2F6B45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BE9E7"/>
        </x:patternFill>
      </x:fill>
    </x:dxf>
    <x:dxf>
      <x:font>
        <x:color rgb="FF9A6B16"/>
      </x:font>
      <x:fill>
        <x:patternFill patternType="solid">
          <x:bgColor rgb="FFFFF4D6"/>
        </x:patternFill>
      </x:fill>
    </x:dxf>
    <x:dxf>
      <x:font>
        <x:color rgb="FF2E74B5"/>
      </x:font>
      <x:fill>
        <x:patternFill patternType="solid">
          <x:bgColor rgb="FFE8EEF5"/>
        </x:patternFill>
      </x:fill>
    </x:dxf>
    <x:dxf>
      <x:font>
        <x:b/>
        <x:color rgb="FF2F6B45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988c60c78418f" /><Relationship Type="http://schemas.openxmlformats.org/officeDocument/2006/relationships/theme" Target="/xl/theme/theme1.xml" Id="Ref21ab778dd84df4" /><Relationship Type="http://schemas.openxmlformats.org/officeDocument/2006/relationships/sharedStrings" Target="/xl/sharedStrings.xml" Id="R749494fc508b4866" /><Relationship Type="http://schemas.openxmlformats.org/officeDocument/2006/relationships/worksheet" Target="/xl/worksheets/sheet1.xml" Id="Re36666edbaba4427" /><Relationship Type="http://schemas.openxmlformats.org/officeDocument/2006/relationships/worksheet" Target="/xl/worksheets/sheet2.xml" Id="R40a329de7d3e48c5" /><Relationship Type="http://schemas.openxmlformats.org/officeDocument/2006/relationships/worksheet" Target="/xl/worksheets/sheet3.xml" Id="Rc6f4772c993e44ca" /><Relationship Type="http://schemas.openxmlformats.org/officeDocument/2006/relationships/worksheet" Target="/xl/worksheets/sheet4.xml" Id="Rb1db448c632c4225" /><Relationship Type="http://schemas.openxmlformats.org/officeDocument/2006/relationships/worksheet" Target="/xl/worksheets/sheet5.xml" Id="R1cb2e71d37cd404d" /><Relationship Type="http://schemas.openxmlformats.org/officeDocument/2006/relationships/worksheet" Target="/xl/worksheets/sheet6.xml" Id="Radba3d31943d4b7b" /><Relationship Type="http://schemas.openxmlformats.org/officeDocument/2006/relationships/worksheet" Target="/xl/worksheets/sheet7.xml" Id="R0a6ac6639f464b66" /><Relationship Type="http://schemas.openxmlformats.org/officeDocument/2006/relationships/worksheet" Target="/xl/worksheets/sheet8.xml" Id="Rc9bf8597f81f4c64" /><Relationship Type="http://schemas.microsoft.com/office/2017/10/relationships/person" Target="/xl/persons/person.xml" Id="R1324442104e242d0" /></Relationships>
</file>

<file path=xl/persons/person.xml><?xml version="1.0" encoding="utf-8"?>
<xltc:personList xmlns:xltc="http://schemas.microsoft.com/office/spreadsheetml/2018/threadedcomments">
  <xltc:person displayName="User" id="{D0F62CA2-871A-4AF7-9462-1DB57E45AE4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67" t="str">
        <x:v>《秦灭六国》抖音小游戏上线台账</x:v>
      </x:c>
      <x:c r="B1" s="67"/>
      <x:c r="C1" s="67"/>
      <x:c r="D1" s="67"/>
      <x:c r="E1" s="67"/>
      <x:c r="F1" s="67"/>
      <x:c r="G1" s="67"/>
      <x:c r="H1" s="67"/>
    </x:row>
    <x:row r="2" ht="38" customHeight="1">
      <x:c r="A2" s="49" t="str">
        <x:v>基于仓库 main / 735f56c43cf；截至 2026-08-05。黄色为待补，红色为阻塞或 P0。</x:v>
      </x:c>
      <x:c r="B2" s="49"/>
      <x:c r="C2" s="49"/>
      <x:c r="D2" s="49"/>
      <x:c r="E2" s="49"/>
      <x:c r="F2" s="49"/>
      <x:c r="G2" s="49"/>
      <x:c r="H2" s="49"/>
    </x:row>
    <x:row r="3">
      <x:c r="A3" s="68"/>
      <x:c r="B3" s="68"/>
      <x:c r="C3" s="68"/>
      <x:c r="D3" s="68"/>
      <x:c r="E3" s="68"/>
      <x:c r="F3" s="68"/>
      <x:c r="G3" s="68"/>
      <x:c r="H3" s="68"/>
    </x:row>
    <x:row r="4" ht="28" customHeight="1">
      <x:c r="A4" s="51" t="str">
        <x:v>项目名称</x:v>
      </x:c>
      <x:c r="B4" s="52" t="str">
        <x:v>秦灭六国</x:v>
      </x:c>
      <x:c r="C4" s="68"/>
      <x:c r="D4" s="53" t="str">
        <x:v>状态汇总</x:v>
      </x:c>
      <x:c r="E4" s="53" t="str">
        <x:v>数量</x:v>
      </x:c>
      <x:c r="F4" s="68"/>
      <x:c r="G4" s="68"/>
      <x:c r="H4" s="68"/>
    </x:row>
    <x:row r="5">
      <x:c r="A5" s="54" t="str">
        <x:v>主体</x:v>
      </x:c>
      <x:c r="B5" s="55" t="str">
        <x:v>个人</x:v>
      </x:c>
      <x:c r="C5" s="68"/>
      <x:c r="D5" s="56" t="str">
        <x:v>已完成</x:v>
      </x:c>
      <x:c r="E5" s="57" t="n">
        <x:f>COUNTIF('材料清单'!$E$5:$E$34,"已完成")</x:f>
        <x:v>9</x:v>
      </x:c>
      <x:c r="F5" s="68"/>
      <x:c r="G5" s="68"/>
      <x:c r="H5" s="68"/>
    </x:row>
    <x:row r="6">
      <x:c r="A6" s="54" t="str">
        <x:v>当前形态</x:v>
      </x:c>
      <x:c r="B6" s="55" t="str">
        <x:v>React/Vite 网页 Demo</x:v>
      </x:c>
      <x:c r="C6" s="68"/>
      <x:c r="D6" s="58" t="str">
        <x:v>待处理</x:v>
      </x:c>
      <x:c r="E6" s="59" t="n">
        <x:f>COUNTIF('材料清单'!$E$5:$E$34,"待本人补充")+COUNTIF('材料清单'!$E$5:$E$34,"待技术整改")+COUNTIF('材料清单'!$E$5:$E$34,"待前序完成")+COUNTIF('材料清单'!$E$5:$E$34,"进行中")+COUNTIF('材料清单'!$E$5:$E$34,"未开始")</x:f>
        <x:v>17</x:v>
      </x:c>
      <x:c r="F6" s="68"/>
      <x:c r="G6" s="68"/>
      <x:c r="H6" s="68"/>
    </x:row>
    <x:row r="7">
      <x:c r="A7" s="54" t="str">
        <x:v>建议分类</x:v>
      </x:c>
      <x:c r="B7" s="55" t="str">
        <x:v>休闲 → 冒险 → 视觉小说</x:v>
      </x:c>
      <x:c r="C7" s="68"/>
      <x:c r="D7" s="58" t="str">
        <x:v>阻塞</x:v>
      </x:c>
      <x:c r="E7" s="60" t="n">
        <x:f>COUNTIF('材料清单'!$E$5:$E$34,"阻塞")</x:f>
        <x:v>4</x:v>
      </x:c>
      <x:c r="F7" s="68"/>
      <x:c r="G7" s="68"/>
      <x:c r="H7" s="68"/>
    </x:row>
    <x:row r="8">
      <x:c r="A8" s="54" t="str">
        <x:v>适龄建议</x:v>
      </x:c>
      <x:c r="B8" s="55" t="str">
        <x:v>12+</x:v>
      </x:c>
      <x:c r="C8" s="68"/>
      <x:c r="D8" s="61" t="str">
        <x:v>总项数</x:v>
      </x:c>
      <x:c r="E8" s="62" t="n">
        <x:f>COUNTA('材料清单'!$B$5:$B$34)</x:f>
        <x:v>30</x:v>
      </x:c>
      <x:c r="F8" s="68"/>
      <x:c r="G8" s="68"/>
      <x:c r="H8" s="68"/>
    </x:row>
    <x:row r="9">
      <x:c r="A9" s="63" t="str">
        <x:v>仓库</x:v>
      </x:c>
      <x:c r="B9" s="64" t="str">
        <x:v>https://github.com/shixiaofei-sunny/qin-mie-liu-guo</x:v>
      </x:c>
      <x:c r="C9" s="68"/>
      <x:c r="D9" s="68"/>
      <x:c r="E9" s="68"/>
      <x:c r="F9" s="68"/>
      <x:c r="G9" s="68"/>
      <x:c r="H9" s="68"/>
    </x:row>
    <x:row r="10">
      <x:c r="A10" s="68"/>
      <x:c r="B10" s="68"/>
      <x:c r="C10" s="68"/>
      <x:c r="D10" s="68"/>
      <x:c r="E10" s="68"/>
      <x:c r="F10" s="68"/>
      <x:c r="G10" s="68"/>
      <x:c r="H10" s="68"/>
    </x:row>
    <x:row r="11" ht="42" customHeight="1">
      <x:c r="A11" s="65" t="str">
        <x:v>当前不能直接提审：必须先完成小游戏工程迁移、软著、站外引流与统计清理，以及“黑冰台”IP 风险处理。</x:v>
      </x:c>
      <x:c r="B11" s="65"/>
      <x:c r="C11" s="65"/>
      <x:c r="D11" s="65"/>
      <x:c r="E11" s="65"/>
      <x:c r="F11" s="65"/>
      <x:c r="G11" s="65"/>
      <x:c r="H11" s="65"/>
    </x:row>
    <x:row r="12">
      <x:c r="A12" s="68"/>
      <x:c r="B12" s="68"/>
      <x:c r="C12" s="68"/>
      <x:c r="D12" s="68"/>
      <x:c r="E12" s="68"/>
      <x:c r="F12" s="68"/>
      <x:c r="G12" s="68"/>
      <x:c r="H12" s="68"/>
    </x:row>
    <x:row r="13" ht="28" customHeight="1">
      <x:c r="A13" s="53" t="str">
        <x:v>上线顺序</x:v>
      </x:c>
      <x:c r="B13" s="53" t="str">
        <x:v>1</x:v>
      </x:c>
      <x:c r="C13" s="53" t="str">
        <x:v>2</x:v>
      </x:c>
      <x:c r="D13" s="53" t="str">
        <x:v>3</x:v>
      </x:c>
      <x:c r="E13" s="53" t="str">
        <x:v>4</x:v>
      </x:c>
      <x:c r="F13" s="53" t="str">
        <x:v>5</x:v>
      </x:c>
      <x:c r="G13" s="53" t="str">
        <x:v>6</x:v>
      </x:c>
      <x:c r="H13" s="53" t="str">
        <x:v>7</x:v>
      </x:c>
    </x:row>
    <x:row r="14" ht="28" customHeight="1">
      <x:c r="A14" s="53" t="str">
        <x:v>阶段</x:v>
      </x:c>
      <x:c r="B14" s="53" t="str">
        <x:v>主体/创建</x:v>
      </x:c>
      <x:c r="C14" s="53" t="str">
        <x:v>小游戏迁移</x:v>
      </x:c>
      <x:c r="D14" s="53" t="str">
        <x:v>软著</x:v>
      </x:c>
      <x:c r="E14" s="53" t="str">
        <x:v>基础信息</x:v>
      </x:c>
      <x:c r="F14" s="53" t="str">
        <x:v>版本审核</x:v>
      </x:c>
      <x:c r="G14" s="53" t="str">
        <x:v>作品+ICP备案</x:v>
      </x:c>
      <x:c r="H14" s="53" t="str">
        <x:v>发布</x:v>
      </x:c>
    </x:row>
    <x:row r="15">
      <x:c r="A15" s="56" t="str">
        <x:v>关键结果</x:v>
      </x:c>
      <x:c r="B15" s="56" t="str">
        <x:v>appID</x:v>
      </x:c>
      <x:c r="C15" s="56" t="str">
        <x:v>真机可运行</x:v>
      </x:c>
      <x:c r="D15" s="56" t="str">
        <x:v>证书</x:v>
      </x:c>
      <x:c r="E15" s="56" t="str">
        <x:v>信息审核通过</x:v>
      </x:c>
      <x:c r="F15" s="56" t="str">
        <x:v>测试版本通过</x:v>
      </x:c>
      <x:c r="G15" s="56" t="str">
        <x:v>备案号</x:v>
      </x:c>
      <x:c r="H15" s="56" t="str">
        <x:v>灰度/全量</x:v>
      </x:c>
    </x:row>
    <x:row r="16">
      <x:c r="A16" s="58" t="str">
        <x:v>当前状态</x:v>
      </x:c>
      <x:c r="B16" s="58" t="str">
        <x:v>待本人补充</x:v>
      </x:c>
      <x:c r="C16" s="58" t="str">
        <x:v>阻塞</x:v>
      </x:c>
      <x:c r="D16" s="58" t="str">
        <x:v>阻塞</x:v>
      </x:c>
      <x:c r="E16" s="58" t="str">
        <x:v>材料已准备</x:v>
      </x:c>
      <x:c r="F16" s="58" t="str">
        <x:v>待技术整改</x:v>
      </x:c>
      <x:c r="G16" s="58" t="str">
        <x:v>待前序完成</x:v>
      </x:c>
      <x:c r="H16" s="58" t="str">
        <x:v>待前序完成</x:v>
      </x:c>
    </x:row>
    <x:row r="17">
      <x:c r="A17" s="58" t="str">
        <x:v>负责人</x:v>
      </x:c>
      <x:c r="B17" s="58" t="str">
        <x:v>本人</x:v>
      </x:c>
      <x:c r="C17" s="58" t="str">
        <x:v>开发</x:v>
      </x:c>
      <x:c r="D17" s="58" t="str">
        <x:v>本人</x:v>
      </x:c>
      <x:c r="E17" s="58" t="str">
        <x:v>本人</x:v>
      </x:c>
      <x:c r="F17" s="58" t="str">
        <x:v>开发+本人</x:v>
      </x:c>
      <x:c r="G17" s="58" t="str">
        <x:v>本人</x:v>
      </x:c>
      <x:c r="H17" s="58" t="str">
        <x:v>本人</x:v>
      </x:c>
    </x:row>
    <x:row r="18">
      <x:c r="A18" s="66" t="str">
        <x:v>备注</x:v>
      </x:c>
      <x:c r="B18" s="66" t="str">
        <x:v>个人主体</x:v>
      </x:c>
      <x:c r="C18" s="66" t="str">
        <x:v>非简单打包</x:v>
      </x:c>
      <x:c r="D18" s="66" t="str">
        <x:v>名称与主体一致</x:v>
      </x:c>
      <x:c r="E18" s="66" t="str">
        <x:v>12+、隐私、截图</x:v>
      </x:c>
      <x:c r="F18" s="66" t="str">
        <x:v>多端 QA</x:v>
      </x:c>
      <x:c r="G18" s="66" t="str">
        <x:v>短信24小时核验</x:v>
      </x:c>
      <x:c r="H18" s="66" t="str">
        <x:v>先灰度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4" hidden="0" customWidth="1"/>
    <x:col min="4" max="4" width="14" hidden="0" customWidth="1"/>
    <x:col min="5" max="5" width="14" hidden="0" customWidth="1"/>
    <x:col min="6" max="6" width="44" hidden="0" customWidth="1"/>
    <x:col min="7" max="7" width="24" hidden="0" customWidth="1"/>
  </x:cols>
  <x:sheetData>
    <x:row r="1" ht="34" customHeight="1">
      <x:c r="A1" s="67" t="str">
        <x:v>材料清单</x:v>
      </x:c>
      <x:c r="B1" s="67"/>
      <x:c r="C1" s="67"/>
      <x:c r="D1" s="67"/>
      <x:c r="E1" s="67"/>
      <x:c r="F1" s="67"/>
      <x:c r="G1" s="67"/>
    </x:row>
    <x:row r="2" ht="38" customHeight="1">
      <x:c r="A2" s="49" t="str">
        <x:v>每项状态可下拉选择；先清空 P0，再提交基础信息与版本。</x:v>
      </x:c>
      <x:c r="B2" s="49"/>
      <x:c r="C2" s="49"/>
      <x:c r="D2" s="49"/>
      <x:c r="E2" s="49"/>
      <x:c r="F2" s="49"/>
      <x:c r="G2" s="49"/>
    </x:row>
    <x:row r="3">
      <x:c r="A3" s="68"/>
      <x:c r="B3" s="68"/>
      <x:c r="C3" s="68"/>
      <x:c r="D3" s="68"/>
      <x:c r="E3" s="68"/>
      <x:c r="F3" s="68"/>
      <x:c r="G3" s="68"/>
    </x:row>
    <x:row r="4" ht="28" customHeight="1">
      <x:c r="A4" s="53" t="str">
        <x:v>编号</x:v>
      </x:c>
      <x:c r="B4" s="53" t="str">
        <x:v>材料/工作项</x:v>
      </x:c>
      <x:c r="C4" s="53" t="str">
        <x:v>负责人</x:v>
      </x:c>
      <x:c r="D4" s="53" t="str">
        <x:v>优先级</x:v>
      </x:c>
      <x:c r="E4" s="53" t="str">
        <x:v>状态</x:v>
      </x:c>
      <x:c r="F4" s="53" t="str">
        <x:v>说明</x:v>
      </x:c>
      <x:c r="G4" s="53" t="str">
        <x:v>证据/位置</x:v>
      </x:c>
    </x:row>
    <x:row r="5">
      <x:c r="A5" s="56" t="str">
        <x:v>M-001</x:v>
      </x:c>
      <x:c r="B5" s="56" t="str">
        <x:v>抖音开放平台个人主体认证</x:v>
      </x:c>
      <x:c r="C5" s="56" t="str">
        <x:v>本人</x:v>
      </x:c>
      <x:c r="D5" s="56" t="str">
        <x:v>P0</x:v>
      </x:c>
      <x:c r="E5" s="56" t="str">
        <x:v>待本人补充</x:v>
      </x:c>
      <x:c r="F5" s="56" t="str">
        <x:v>身份证、实名手机号、邮箱</x:v>
      </x:c>
      <x:c r="G5" s="56" t="str">
        <x:v>控制台</x:v>
      </x:c>
    </x:row>
    <x:row r="6">
      <x:c r="A6" s="58" t="str">
        <x:v>M-002</x:v>
      </x:c>
      <x:c r="B6" s="58" t="str">
        <x:v>创建小游戏并取得 appID</x:v>
      </x:c>
      <x:c r="C6" s="58" t="str">
        <x:v>本人</x:v>
      </x:c>
      <x:c r="D6" s="58" t="str">
        <x:v>P0</x:v>
      </x:c>
      <x:c r="E6" s="58" t="str">
        <x:v>待本人补充</x:v>
      </x:c>
      <x:c r="F6" s="58" t="str">
        <x:v>名称锁定为秦灭六国</x:v>
      </x:c>
      <x:c r="G6" s="58" t="str">
        <x:v>控制台</x:v>
      </x:c>
    </x:row>
    <x:row r="7">
      <x:c r="A7" s="58" t="str">
        <x:v>M-003</x:v>
      </x:c>
      <x:c r="B7" s="58" t="str">
        <x:v>小游戏工程迁移</x:v>
      </x:c>
      <x:c r="C7" s="58" t="str">
        <x:v>开发</x:v>
      </x:c>
      <x:c r="D7" s="58" t="str">
        <x:v>P0</x:v>
      </x:c>
      <x:c r="E7" s="58" t="str">
        <x:v>阻塞</x:v>
      </x:c>
      <x:c r="F7" s="58" t="str">
        <x:v>当前为 React/Vite 网页</x:v>
      </x:c>
      <x:c r="G7" s="58" t="str">
        <x:v>08_技术迁移报告</x:v>
      </x:c>
    </x:row>
    <x:row r="8">
      <x:c r="A8" s="58" t="str">
        <x:v>M-004</x:v>
      </x:c>
      <x:c r="B8" s="58" t="str">
        <x:v>project.config.json / game.json</x:v>
      </x:c>
      <x:c r="C8" s="58" t="str">
        <x:v>开发</x:v>
      </x:c>
      <x:c r="D8" s="58" t="str">
        <x:v>P0</x:v>
      </x:c>
      <x:c r="E8" s="58" t="str">
        <x:v>阻塞</x:v>
      </x:c>
      <x:c r="F8" s="58" t="str">
        <x:v>IDE 可编译上传</x:v>
      </x:c>
      <x:c r="G8" s="58" t="str">
        <x:v>迁移工程</x:v>
      </x:c>
    </x:row>
    <x:row r="9">
      <x:c r="A9" s="58" t="str">
        <x:v>M-005</x:v>
      </x:c>
      <x:c r="B9" s="58" t="str">
        <x:v>软著证书</x:v>
      </x:c>
      <x:c r="C9" s="58" t="str">
        <x:v>本人</x:v>
      </x:c>
      <x:c r="D9" s="58" t="str">
        <x:v>P0</x:v>
      </x:c>
      <x:c r="E9" s="58" t="str">
        <x:v>阻塞</x:v>
      </x:c>
      <x:c r="F9" s="58" t="str">
        <x:v>建议全称秦灭六国游戏软件</x:v>
      </x:c>
      <x:c r="G9" s="58" t="str">
        <x:v>10_软著准备</x:v>
      </x:c>
    </x:row>
    <x:row r="10">
      <x:c r="A10" s="58" t="str">
        <x:v>M-006</x:v>
      </x:c>
      <x:c r="B10" s="58" t="str">
        <x:v>基础名称、简介、详细介绍</x:v>
      </x:c>
      <x:c r="C10" s="58" t="str">
        <x:v>本人</x:v>
      </x:c>
      <x:c r="D10" s="58" t="str">
        <x:v>P1</x:v>
      </x:c>
      <x:c r="E10" s="58" t="str">
        <x:v>已完成</x:v>
      </x:c>
      <x:c r="F10" s="58" t="str">
        <x:v>提交前与最终版本复核</x:v>
      </x:c>
      <x:c r="G10" s="58" t="str">
        <x:v>01_平台文案</x:v>
      </x:c>
    </x:row>
    <x:row r="11">
      <x:c r="A11" s="58" t="str">
        <x:v>M-007</x:v>
      </x:c>
      <x:c r="B11" s="58" t="str">
        <x:v>类别、题材、画风</x:v>
      </x:c>
      <x:c r="C11" s="58" t="str">
        <x:v>本人</x:v>
      </x:c>
      <x:c r="D11" s="58" t="str">
        <x:v>P1</x:v>
      </x:c>
      <x:c r="E11" s="58" t="str">
        <x:v>已完成</x:v>
      </x:c>
      <x:c r="F11" s="58" t="str">
        <x:v>视觉小说/其他题材/中国风</x:v>
      </x:c>
      <x:c r="G11" s="58" t="str">
        <x:v>01_平台文案</x:v>
      </x:c>
    </x:row>
    <x:row r="12">
      <x:c r="A12" s="58" t="str">
        <x:v>M-008</x:v>
      </x:c>
      <x:c r="B12" s="58" t="str">
        <x:v>512×512 游戏图标</x:v>
      </x:c>
      <x:c r="C12" s="58" t="str">
        <x:v>美术</x:v>
      </x:c>
      <x:c r="D12" s="58" t="str">
        <x:v>P1</x:v>
      </x:c>
      <x:c r="E12" s="58" t="str">
        <x:v>已完成</x:v>
      </x:c>
      <x:c r="F12" s="58" t="str">
        <x:v>控制台小尺寸预览</x:v>
      </x:c>
      <x:c r="G12" s="58" t="str">
        <x:v>13_图标</x:v>
      </x:c>
    </x:row>
    <x:row r="13">
      <x:c r="A13" s="58" t="str">
        <x:v>M-009</x:v>
      </x:c>
      <x:c r="B13" s="58" t="str">
        <x:v>三张游戏内截图</x:v>
      </x:c>
      <x:c r="C13" s="58" t="str">
        <x:v>开发</x:v>
      </x:c>
      <x:c r="D13" s="58" t="str">
        <x:v>P1</x:v>
      </x:c>
      <x:c r="E13" s="58" t="str">
        <x:v>待技术整改</x:v>
      </x:c>
      <x:c r="F13" s="58" t="str">
        <x:v>当前仅有网页版基线，迁移后真机重拍</x:v>
      </x:c>
      <x:c r="G13" s="58" t="str">
        <x:v>12_提审截图</x:v>
      </x:c>
    </x:row>
    <x:row r="14">
      <x:c r="A14" s="58" t="str">
        <x:v>M-010</x:v>
      </x:c>
      <x:c r="B14" s="58" t="str">
        <x:v>隐私政策</x:v>
      </x:c>
      <x:c r="C14" s="58" t="str">
        <x:v>本人</x:v>
      </x:c>
      <x:c r="D14" s="58" t="str">
        <x:v>P0</x:v>
      </x:c>
      <x:c r="E14" s="58" t="str">
        <x:v>已完成</x:v>
      </x:c>
      <x:c r="F14" s="58" t="str">
        <x:v>补姓名、邮箱、地址、服务商</x:v>
      </x:c>
      <x:c r="G14" s="58" t="str">
        <x:v>03_隐私政策</x:v>
      </x:c>
    </x:row>
    <x:row r="15">
      <x:c r="A15" s="58" t="str">
        <x:v>M-011</x:v>
      </x:c>
      <x:c r="B15" s="58" t="str">
        <x:v>个人信息处理清单</x:v>
      </x:c>
      <x:c r="C15" s="58" t="str">
        <x:v>开发</x:v>
      </x:c>
      <x:c r="D15" s="58" t="str">
        <x:v>P0</x:v>
      </x:c>
      <x:c r="E15" s="58" t="str">
        <x:v>已完成</x:v>
      </x:c>
      <x:c r="F15" s="58" t="str">
        <x:v>迁移后按实际接口更新</x:v>
      </x:c>
      <x:c r="G15" s="58" t="str">
        <x:v>03_隐私政策</x:v>
      </x:c>
    </x:row>
    <x:row r="16">
      <x:c r="A16" s="58" t="str">
        <x:v>M-012</x:v>
      </x:c>
      <x:c r="B16" s="58" t="str">
        <x:v>用户服务协议</x:v>
      </x:c>
      <x:c r="C16" s="58" t="str">
        <x:v>本人</x:v>
      </x:c>
      <x:c r="D16" s="58" t="str">
        <x:v>P1</x:v>
      </x:c>
      <x:c r="E16" s="58" t="str">
        <x:v>已完成</x:v>
      </x:c>
      <x:c r="F16" s="58" t="str">
        <x:v>补运营者信息</x:v>
      </x:c>
      <x:c r="G16" s="58" t="str">
        <x:v>04_用户协议</x:v>
      </x:c>
    </x:row>
    <x:row r="17">
      <x:c r="A17" s="58" t="str">
        <x:v>M-013</x:v>
      </x:c>
      <x:c r="B17" s="58" t="str">
        <x:v>适龄提示</x:v>
      </x:c>
      <x:c r="C17" s="58" t="str">
        <x:v>本人</x:v>
      </x:c>
      <x:c r="D17" s="58" t="str">
        <x:v>P1</x:v>
      </x:c>
      <x:c r="E17" s="58" t="str">
        <x:v>已完成</x:v>
      </x:c>
      <x:c r="F17" s="58" t="str">
        <x:v>建议12+</x:v>
      </x:c>
      <x:c r="G17" s="58" t="str">
        <x:v>05_适龄说明</x:v>
      </x:c>
    </x:row>
    <x:row r="18">
      <x:c r="A18" s="58" t="str">
        <x:v>M-014</x:v>
      </x:c>
      <x:c r="B18" s="58" t="str">
        <x:v>自审自查确认</x:v>
      </x:c>
      <x:c r="C18" s="58" t="str">
        <x:v>本人</x:v>
      </x:c>
      <x:c r="D18" s="58" t="str">
        <x:v>P1</x:v>
      </x:c>
      <x:c r="E18" s="58" t="str">
        <x:v>待本人补充</x:v>
      </x:c>
      <x:c r="F18" s="58" t="str">
        <x:v>控制台勾选，无需另传报告</x:v>
      </x:c>
      <x:c r="G18" s="58" t="str">
        <x:v>控制台</x:v>
      </x:c>
    </x:row>
    <x:row r="19">
      <x:c r="A19" s="58" t="str">
        <x:v>M-015</x:v>
      </x:c>
      <x:c r="B19" s="58" t="str">
        <x:v>历史题材说明</x:v>
      </x:c>
      <x:c r="C19" s="58" t="str">
        <x:v>内容</x:v>
      </x:c>
      <x:c r="D19" s="58" t="str">
        <x:v>P1</x:v>
      </x:c>
      <x:c r="E19" s="58" t="str">
        <x:v>已完成</x:v>
      </x:c>
      <x:c r="F19" s="58" t="str">
        <x:v>史实与虚构边界</x:v>
      </x:c>
      <x:c r="G19" s="58" t="str">
        <x:v>06_内容合规</x:v>
      </x:c>
    </x:row>
    <x:row r="20">
      <x:c r="A20" s="58" t="str">
        <x:v>M-016</x:v>
      </x:c>
      <x:c r="B20" s="58" t="str">
        <x:v>黑冰台改名或授权</x:v>
      </x:c>
      <x:c r="C20" s="58" t="str">
        <x:v>内容/本人</x:v>
      </x:c>
      <x:c r="D20" s="58" t="str">
        <x:v>P0</x:v>
      </x:c>
      <x:c r="E20" s="58" t="str">
        <x:v>阻塞</x:v>
      </x:c>
      <x:c r="F20" s="58" t="str">
        <x:v>借鉴《大秦帝国》虚构机构</x:v>
      </x:c>
      <x:c r="G20" s="58" t="str">
        <x:v>06/07文档</x:v>
      </x:c>
    </x:row>
    <x:row r="21">
      <x:c r="A21" s="58" t="str">
        <x:v>M-017</x:v>
      </x:c>
      <x:c r="B21" s="58" t="str">
        <x:v>站外二维码和外链清理</x:v>
      </x:c>
      <x:c r="C21" s="58" t="str">
        <x:v>开发</x:v>
      </x:c>
      <x:c r="D21" s="58" t="str">
        <x:v>P0</x:v>
      </x:c>
      <x:c r="E21" s="58" t="str">
        <x:v>待技术整改</x:v>
      </x:c>
      <x:c r="F21" s="58" t="str">
        <x:v>微信/Telegram/B站/机核</x:v>
      </x:c>
      <x:c r="G21" s="58" t="str">
        <x:v>08_技术迁移</x:v>
      </x:c>
    </x:row>
    <x:row r="22">
      <x:c r="A22" s="58" t="str">
        <x:v>M-018</x:v>
      </x:c>
      <x:c r="B22" s="58" t="str">
        <x:v>Umami 与 itch.io 脚本清理</x:v>
      </x:c>
      <x:c r="C22" s="58" t="str">
        <x:v>开发</x:v>
      </x:c>
      <x:c r="D22" s="58" t="str">
        <x:v>P0</x:v>
      </x:c>
      <x:c r="E22" s="58" t="str">
        <x:v>待技术整改</x:v>
      </x:c>
      <x:c r="F22" s="58" t="str">
        <x:v>提审版删除</x:v>
      </x:c>
      <x:c r="G22" s="58" t="str">
        <x:v>08_技术迁移</x:v>
      </x:c>
    </x:row>
    <x:row r="23">
      <x:c r="A23" s="58" t="str">
        <x:v>M-019</x:v>
      </x:c>
      <x:c r="B23" s="58" t="str">
        <x:v>境内 HTTPS 资源方案</x:v>
      </x:c>
      <x:c r="C23" s="58" t="str">
        <x:v>开发/本人</x:v>
      </x:c>
      <x:c r="D23" s="58" t="str">
        <x:v>P0</x:v>
      </x:c>
      <x:c r="E23" s="58" t="str">
        <x:v>待技术整改</x:v>
      </x:c>
      <x:c r="F23" s="58" t="str">
        <x:v>当前注释为境外媒体服务器</x:v>
      </x:c>
      <x:c r="G23" s="58" t="str">
        <x:v>域名与服务器</x:v>
      </x:c>
    </x:row>
    <x:row r="24">
      <x:c r="A24" s="58" t="str">
        <x:v>M-020</x:v>
      </x:c>
      <x:c r="B24" s="58" t="str">
        <x:v>合法域名白名单</x:v>
      </x:c>
      <x:c r="C24" s="58" t="str">
        <x:v>开发</x:v>
      </x:c>
      <x:c r="D24" s="58" t="str">
        <x:v>P0</x:v>
      </x:c>
      <x:c r="E24" s="58" t="str">
        <x:v>待技术整改</x:v>
      </x:c>
      <x:c r="F24" s="58" t="str">
        <x:v>request/download 按实际配置</x:v>
      </x:c>
      <x:c r="G24" s="58" t="str">
        <x:v>控制台</x:v>
      </x:c>
    </x:row>
    <x:row r="25">
      <x:c r="A25" s="58" t="str">
        <x:v>M-021</x:v>
      </x:c>
      <x:c r="B25" s="58" t="str">
        <x:v>ICP备案信息</x:v>
      </x:c>
      <x:c r="C25" s="58" t="str">
        <x:v>本人</x:v>
      </x:c>
      <x:c r="D25" s="58" t="str">
        <x:v>P0</x:v>
      </x:c>
      <x:c r="E25" s="58" t="str">
        <x:v>待本人补充</x:v>
      </x:c>
      <x:c r="F25" s="58" t="str">
        <x:v>地址、手机号、邮箱、应急电话</x:v>
      </x:c>
      <x:c r="G25" s="58" t="str">
        <x:v>02_ICP模板</x:v>
      </x:c>
    </x:row>
    <x:row r="26">
      <x:c r="A26" s="58" t="str">
        <x:v>M-022</x:v>
      </x:c>
      <x:c r="B26" s="58" t="str">
        <x:v>异地备案补充材料</x:v>
      </x:c>
      <x:c r="C26" s="58" t="str">
        <x:v>本人</x:v>
      </x:c>
      <x:c r="D26" s="58" t="str">
        <x:v>P1</x:v>
      </x:c>
      <x:c r="E26" s="58" t="str">
        <x:v>待本人补充</x:v>
      </x:c>
      <x:c r="F26" s="58" t="str">
        <x:v>按身份证与通讯地址判断</x:v>
      </x:c>
      <x:c r="G26" s="58" t="str">
        <x:v>02_ICP模板</x:v>
      </x:c>
    </x:row>
    <x:row r="27">
      <x:c r="A27" s="58" t="str">
        <x:v>M-023</x:v>
      </x:c>
      <x:c r="B27" s="58" t="str">
        <x:v>小游戏作品备案</x:v>
      </x:c>
      <x:c r="C27" s="58" t="str">
        <x:v>平台/本人</x:v>
      </x:c>
      <x:c r="D27" s="58" t="str">
        <x:v>P1</x:v>
      </x:c>
      <x:c r="E27" s="58" t="str">
        <x:v>待前序完成</x:v>
      </x:c>
      <x:c r="F27" s="58" t="str">
        <x:v>基础信息+版本通过后平台自动申报</x:v>
      </x:c>
      <x:c r="G27" s="58" t="str">
        <x:v>控制台</x:v>
      </x:c>
    </x:row>
    <x:row r="28">
      <x:c r="A28" s="58" t="str">
        <x:v>M-024</x:v>
      </x:c>
      <x:c r="B28" s="58" t="str">
        <x:v>AI 图片生成证据</x:v>
      </x:c>
      <x:c r="C28" s="58" t="str">
        <x:v>美术</x:v>
      </x:c>
      <x:c r="D28" s="58" t="str">
        <x:v>P1</x:v>
      </x:c>
      <x:c r="E28" s="58" t="str">
        <x:v>待本人补充</x:v>
      </x:c>
      <x:c r="F28" s="58" t="str">
        <x:v>提示词、工具、账号、条款、哈希</x:v>
      </x:c>
      <x:c r="G28" s="58" t="str">
        <x:v>14_版权证据</x:v>
      </x:c>
    </x:row>
    <x:row r="29">
      <x:c r="A29" s="58" t="str">
        <x:v>M-025</x:v>
      </x:c>
      <x:c r="B29" s="58" t="str">
        <x:v>TTS/BGM/音效许可</x:v>
      </x:c>
      <x:c r="C29" s="58" t="str">
        <x:v>音频/本人</x:v>
      </x:c>
      <x:c r="D29" s="58" t="str">
        <x:v>P1</x:v>
      </x:c>
      <x:c r="E29" s="58" t="str">
        <x:v>待本人补充</x:v>
      </x:c>
      <x:c r="F29" s="58" t="str">
        <x:v>mmx与生成工具商用权</x:v>
      </x:c>
      <x:c r="G29" s="58" t="str">
        <x:v>14_版权证据</x:v>
      </x:c>
    </x:row>
    <x:row r="30">
      <x:c r="A30" s="58" t="str">
        <x:v>M-026</x:v>
      </x:c>
      <x:c r="B30" s="58" t="str">
        <x:v>开源许可证清单</x:v>
      </x:c>
      <x:c r="C30" s="58" t="str">
        <x:v>开发</x:v>
      </x:c>
      <x:c r="D30" s="58" t="str">
        <x:v>P1</x:v>
      </x:c>
      <x:c r="E30" s="58" t="str">
        <x:v>待技术整改</x:v>
      </x:c>
      <x:c r="F30" s="58" t="str">
        <x:v>生成 THIRD_PARTY_NOTICES</x:v>
      </x:c>
      <x:c r="G30" s="58" t="str">
        <x:v>14_版权证据</x:v>
      </x:c>
    </x:row>
    <x:row r="31">
      <x:c r="A31" s="58" t="str">
        <x:v>M-027</x:v>
      </x:c>
      <x:c r="B31" s="58" t="str">
        <x:v>生产依赖安全升级</x:v>
      </x:c>
      <x:c r="C31" s="58" t="str">
        <x:v>开发</x:v>
      </x:c>
      <x:c r="D31" s="58" t="str">
        <x:v>P1</x:v>
      </x:c>
      <x:c r="E31" s="58" t="str">
        <x:v>待技术整改</x:v>
      </x:c>
      <x:c r="F31" s="58" t="str">
        <x:v>lodash/react-router 高危项</x:v>
      </x:c>
      <x:c r="G31" s="58" t="str">
        <x:v>08_技术迁移</x:v>
      </x:c>
    </x:row>
    <x:row r="32">
      <x:c r="A32" s="58" t="str">
        <x:v>M-028</x:v>
      </x:c>
      <x:c r="B32" s="58" t="str">
        <x:v>客服与隐私请求渠道</x:v>
      </x:c>
      <x:c r="C32" s="58" t="str">
        <x:v>本人</x:v>
      </x:c>
      <x:c r="D32" s="58" t="str">
        <x:v>P1</x:v>
      </x:c>
      <x:c r="E32" s="58" t="str">
        <x:v>待本人补充</x:v>
      </x:c>
      <x:c r="F32" s="58" t="str">
        <x:v>不得使用提审版站外引流</x:v>
      </x:c>
      <x:c r="G32" s="58" t="str">
        <x:v>09_客服预案</x:v>
      </x:c>
    </x:row>
    <x:row r="33">
      <x:c r="A33" s="58" t="str">
        <x:v>M-029</x:v>
      </x:c>
      <x:c r="B33" s="58" t="str">
        <x:v>停止运营预案</x:v>
      </x:c>
      <x:c r="C33" s="58" t="str">
        <x:v>本人</x:v>
      </x:c>
      <x:c r="D33" s="58" t="str">
        <x:v>P2</x:v>
      </x:c>
      <x:c r="E33" s="58" t="str">
        <x:v>已完成</x:v>
      </x:c>
      <x:c r="F33" s="58" t="str">
        <x:v>无付费版本底稿</x:v>
      </x:c>
      <x:c r="G33" s="58" t="str">
        <x:v>09_客服预案</x:v>
      </x:c>
    </x:row>
    <x:row r="34">
      <x:c r="A34" s="61" t="str">
        <x:v>M-030</x:v>
      </x:c>
      <x:c r="B34" s="61" t="str">
        <x:v>最终真机全流程回归</x:v>
      </x:c>
      <x:c r="C34" s="61" t="str">
        <x:v>开发</x:v>
      </x:c>
      <x:c r="D34" s="61" t="str">
        <x:v>P0</x:v>
      </x:c>
      <x:c r="E34" s="61" t="str">
        <x:v>待技术整改</x:v>
      </x:c>
      <x:c r="F34" s="61" t="str">
        <x:v>多宿主、弱网、切后台、存档、音频</x:v>
      </x:c>
      <x:c r="G34" s="61" t="str">
        <x:v>08_技术迁移</x:v>
      </x:c>
    </x:row>
  </x:sheetData>
  <x:mergeCells>
    <x:mergeCell ref="A1:G1"/>
    <x:mergeCell ref="A2:G2"/>
  </x:mergeCells>
  <x:conditionalFormatting sqref="D5:D34">
    <x:cfRule type="containsText" dxfId="0" priority="1" operator="containsText" text="P0"/>
    <x:cfRule type="containsText" dxfId="1" priority="2" operator="containsText" text="P1"/>
  </x:conditionalFormatting>
  <x:conditionalFormatting sqref="E5:E34">
    <x:cfRule type="containsText" dxfId="2" priority="3" operator="containsText" text="已完成"/>
    <x:cfRule type="containsText" dxfId="3" priority="4" operator="containsText" text="阻塞"/>
    <x:cfRule type="containsText" dxfId="4" priority="5" operator="containsText" text="待"/>
    <x:cfRule type="containsText" dxfId="5" priority="6" operator="containsText" text="进行中"/>
  </x:conditionalFormatting>
  <x:dataValidations count="2">
    <x:dataValidation type="list" sqref="D5:D34">
      <x:formula1>"P0,P1,P2,P3"</x:formula1>
    </x:dataValidation>
    <x:dataValidation type="list" sqref="E5:E34">
      <x:formula1>"未开始,进行中,待本人补充,待技术整改,已完成,不适用,阻塞"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3" hidden="0" customWidth="1"/>
    <x:col min="4" max="4" width="17" hidden="0" customWidth="1"/>
    <x:col min="5" max="5" width="43" hidden="0" customWidth="1"/>
    <x:col min="6" max="6" width="24" hidden="0" customWidth="1"/>
  </x:cols>
  <x:sheetData>
    <x:row r="1" ht="34" customHeight="1">
      <x:c r="A1" s="67" t="str">
        <x:v>个人主体 ICP 备案</x:v>
      </x:c>
      <x:c r="B1" s="67"/>
      <x:c r="C1" s="67"/>
      <x:c r="D1" s="67"/>
      <x:c r="E1" s="67"/>
      <x:c r="F1" s="67"/>
    </x:row>
    <x:row r="2" ht="38" customHeight="1">
      <x:c r="A2" s="49" t="str">
        <x:v>主办人、主体负责人、小游戏负责人必须是本人；黄色字段必须由本人填写。</x:v>
      </x:c>
      <x:c r="B2" s="49"/>
      <x:c r="C2" s="49"/>
      <x:c r="D2" s="49"/>
      <x:c r="E2" s="49"/>
      <x:c r="F2" s="49"/>
    </x:row>
    <x:row r="3">
      <x:c r="A3" s="68"/>
      <x:c r="B3" s="68"/>
      <x:c r="C3" s="68"/>
      <x:c r="D3" s="68"/>
      <x:c r="E3" s="68"/>
      <x:c r="F3" s="68"/>
    </x:row>
    <x:row r="4" ht="28" customHeight="1">
      <x:c r="A4" s="53" t="str">
        <x:v>分类</x:v>
      </x:c>
      <x:c r="B4" s="53" t="str">
        <x:v>字段</x:v>
      </x:c>
      <x:c r="C4" s="53" t="str">
        <x:v>拟填写内容</x:v>
      </x:c>
      <x:c r="D4" s="53" t="str">
        <x:v>状态</x:v>
      </x:c>
      <x:c r="E4" s="53" t="str">
        <x:v>核对要求</x:v>
      </x:c>
      <x:c r="F4" s="53" t="str">
        <x:v>附件路径</x:v>
      </x:c>
    </x:row>
    <x:row r="5">
      <x:c r="A5" s="56" t="str">
        <x:v>主体</x:v>
      </x:c>
      <x:c r="B5" s="56" t="str">
        <x:v>主体类型</x:v>
      </x:c>
      <x:c r="C5" s="56" t="str">
        <x:v>个人</x:v>
      </x:c>
      <x:c r="D5" s="56" t="str">
        <x:v>已确认</x:v>
      </x:c>
      <x:c r="E5" s="56" t="str">
        <x:v>固定</x:v>
      </x:c>
      <x:c r="F5" s="56" t="str"/>
    </x:row>
    <x:row r="6">
      <x:c r="A6" s="58" t="str">
        <x:v>主体</x:v>
      </x:c>
      <x:c r="B6" s="58" t="str">
        <x:v>证件姓名</x:v>
      </x:c>
      <x:c r="C6" s="58" t="str">
        <x:v>【待填写】</x:v>
      </x:c>
      <x:c r="D6" s="58" t="str">
        <x:v>待本人补充</x:v>
      </x:c>
      <x:c r="E6" s="58" t="str">
        <x:v>与身份证一致</x:v>
      </x:c>
      <x:c r="F6" s="58" t="str"/>
    </x:row>
    <x:row r="7">
      <x:c r="A7" s="58" t="str">
        <x:v>主体</x:v>
      </x:c>
      <x:c r="B7" s="58" t="str">
        <x:v>身份证号</x:v>
      </x:c>
      <x:c r="C7" s="58" t="str">
        <x:v>【待填写】</x:v>
      </x:c>
      <x:c r="D7" s="58" t="str">
        <x:v>待本人补充</x:v>
      </x:c>
      <x:c r="E7" s="58" t="str">
        <x:v>证件有效期距到期&gt;3个月</x:v>
      </x:c>
      <x:c r="F7" s="58" t="str"/>
    </x:row>
    <x:row r="8">
      <x:c r="A8" s="58" t="str">
        <x:v>主体</x:v>
      </x:c>
      <x:c r="B8" s="58" t="str">
        <x:v>证件注册地址</x:v>
      </x:c>
      <x:c r="C8" s="58" t="str">
        <x:v>【待填写】</x:v>
      </x:c>
      <x:c r="D8" s="58" t="str">
        <x:v>待本人补充</x:v>
      </x:c>
      <x:c r="E8" s="58" t="str">
        <x:v>与身份证逐字一致</x:v>
      </x:c>
      <x:c r="F8" s="58" t="str"/>
    </x:row>
    <x:row r="9">
      <x:c r="A9" s="58" t="str">
        <x:v>主体</x:v>
      </x:c>
      <x:c r="B9" s="58" t="str">
        <x:v>通讯地址</x:v>
      </x:c>
      <x:c r="C9" s="58" t="str">
        <x:v>【待填写】</x:v>
      </x:c>
      <x:c r="D9" s="58" t="str">
        <x:v>待本人补充</x:v>
      </x:c>
      <x:c r="E9" s="58" t="str">
        <x:v>真实可联系，决定备案属地</x:v>
      </x:c>
      <x:c r="F9" s="58" t="str"/>
    </x:row>
    <x:row r="10">
      <x:c r="A10" s="58" t="str">
        <x:v>负责人</x:v>
      </x:c>
      <x:c r="B10" s="58" t="str">
        <x:v>实名认证手机号</x:v>
      </x:c>
      <x:c r="C10" s="58" t="str">
        <x:v>【待填写】</x:v>
      </x:c>
      <x:c r="D10" s="58" t="str">
        <x:v>待本人补充</x:v>
      </x:c>
      <x:c r="E10" s="58" t="str">
        <x:v>本人实名</x:v>
      </x:c>
      <x:c r="F10" s="58" t="str"/>
    </x:row>
    <x:row r="11">
      <x:c r="A11" s="58" t="str">
        <x:v>负责人</x:v>
      </x:c>
      <x:c r="B11" s="58" t="str">
        <x:v>电子邮箱</x:v>
      </x:c>
      <x:c r="C11" s="58" t="str">
        <x:v>【待填写】</x:v>
      </x:c>
      <x:c r="D11" s="58" t="str">
        <x:v>待本人补充</x:v>
      </x:c>
      <x:c r="E11" s="58" t="str">
        <x:v>常用邮箱</x:v>
      </x:c>
      <x:c r="F11" s="58" t="str"/>
    </x:row>
    <x:row r="12">
      <x:c r="A12" s="58" t="str">
        <x:v>负责人</x:v>
      </x:c>
      <x:c r="B12" s="58" t="str">
        <x:v>应急电话</x:v>
      </x:c>
      <x:c r="C12" s="58" t="str">
        <x:v>【待填写】</x:v>
      </x:c>
      <x:c r="D12" s="58" t="str">
        <x:v>待本人补充</x:v>
      </x:c>
      <x:c r="E12" s="58" t="str">
        <x:v>不得与负责人手机号相同</x:v>
      </x:c>
      <x:c r="F12" s="58" t="str"/>
    </x:row>
    <x:row r="13">
      <x:c r="A13" s="58" t="str">
        <x:v>小游戏</x:v>
      </x:c>
      <x:c r="B13" s="58" t="str">
        <x:v>名称</x:v>
      </x:c>
      <x:c r="C13" s="58" t="str">
        <x:v>秦灭六国</x:v>
      </x:c>
      <x:c r="D13" s="58" t="str">
        <x:v>已完成</x:v>
      </x:c>
      <x:c r="E13" s="58" t="str">
        <x:v>控制台自动获取</x:v>
      </x:c>
      <x:c r="F13" s="58" t="str"/>
    </x:row>
    <x:row r="14">
      <x:c r="A14" s="58" t="str">
        <x:v>小游戏</x:v>
      </x:c>
      <x:c r="B14" s="58" t="str">
        <x:v>appID</x:v>
      </x:c>
      <x:c r="C14" s="58" t="str">
        <x:v>【待填写】</x:v>
      </x:c>
      <x:c r="D14" s="58" t="str">
        <x:v>待本人补充</x:v>
      </x:c>
      <x:c r="E14" s="58" t="str">
        <x:v>创建后自动获取</x:v>
      </x:c>
      <x:c r="F14" s="58" t="str"/>
    </x:row>
    <x:row r="15">
      <x:c r="A15" s="58" t="str">
        <x:v>小游戏</x:v>
      </x:c>
      <x:c r="B15" s="58" t="str">
        <x:v>服务内容</x:v>
      </x:c>
      <x:c r="C15" s="58" t="str">
        <x:v>【按备案页面实际选项】</x:v>
      </x:c>
      <x:c r="D15" s="58" t="str">
        <x:v>待本人补充</x:v>
      </x:c>
      <x:c r="E15" s="58" t="str">
        <x:v>不要照搬平台类别</x:v>
      </x:c>
      <x:c r="F15" s="58" t="str"/>
    </x:row>
    <x:row r="16">
      <x:c r="A16" s="58" t="str">
        <x:v>小游戏</x:v>
      </x:c>
      <x:c r="B16" s="58" t="str">
        <x:v>前置审批</x:v>
      </x:c>
      <x:c r="C16" s="58" t="str">
        <x:v>【按关键词命中结果】</x:v>
      </x:c>
      <x:c r="D16" s="58" t="str">
        <x:v>待本人补充</x:v>
      </x:c>
      <x:c r="E16" s="58" t="str">
        <x:v>必要时提交不涉及承诺书</x:v>
      </x:c>
      <x:c r="F16" s="58" t="str"/>
    </x:row>
    <x:row r="17">
      <x:c r="A17" s="58" t="str">
        <x:v>服务器</x:v>
      </x:c>
      <x:c r="B17" s="58" t="str">
        <x:v>境内服务商</x:v>
      </x:c>
      <x:c r="C17" s="58" t="str">
        <x:v>【待填写】</x:v>
      </x:c>
      <x:c r="D17" s="58" t="str">
        <x:v>待技术整改</x:v>
      </x:c>
      <x:c r="E17" s="58" t="str">
        <x:v>当前境外CDN不建议沿用</x:v>
      </x:c>
      <x:c r="F17" s="58" t="str"/>
    </x:row>
    <x:row r="18">
      <x:c r="A18" s="58" t="str">
        <x:v>服务器</x:v>
      </x:c>
      <x:c r="B18" s="58" t="str">
        <x:v>域名/IP/所在地</x:v>
      </x:c>
      <x:c r="C18" s="58" t="str">
        <x:v>【待填写】</x:v>
      </x:c>
      <x:c r="D18" s="58" t="str">
        <x:v>待技术整改</x:v>
      </x:c>
      <x:c r="E18" s="58" t="str">
        <x:v>HTTPS并配置白名单</x:v>
      </x:c>
      <x:c r="F18" s="58" t="str"/>
    </x:row>
    <x:row r="19">
      <x:c r="A19" s="58" t="str">
        <x:v>流程</x:v>
      </x:c>
      <x:c r="B19" s="58" t="str">
        <x:v>人证核验</x:v>
      </x:c>
      <x:c r="C19" s="58" t="str">
        <x:v>抖音扫码</x:v>
      </x:c>
      <x:c r="D19" s="58" t="str">
        <x:v>待本人补充</x:v>
      </x:c>
      <x:c r="E19" s="58" t="str">
        <x:v>备案页面操作</x:v>
      </x:c>
      <x:c r="F19" s="58" t="str"/>
    </x:row>
    <x:row r="20">
      <x:c r="A20" s="58" t="str">
        <x:v>流程</x:v>
      </x:c>
      <x:c r="B20" s="58" t="str">
        <x:v>工信部短信</x:v>
      </x:c>
      <x:c r="C20" s="58" t="str">
        <x:v>24小时内核验</x:v>
      </x:c>
      <x:c r="D20" s="58" t="str">
        <x:v>待前序完成</x:v>
      </x:c>
      <x:c r="E20" s="58" t="str">
        <x:v>超时退回</x:v>
      </x:c>
      <x:c r="F20" s="58" t="str"/>
    </x:row>
    <x:row r="21">
      <x:c r="A21" s="61" t="str">
        <x:v>流程</x:v>
      </x:c>
      <x:c r="B21" s="61" t="str">
        <x:v>管局审核</x:v>
      </x:c>
      <x:c r="C21" s="61" t="str">
        <x:v>一般1—20个工作日</x:v>
      </x:c>
      <x:c r="D21" s="61" t="str">
        <x:v>待前序完成</x:v>
      </x:c>
      <x:c r="E21" s="61" t="str">
        <x:v>以实际为准</x:v>
      </x:c>
      <x:c r="F21" s="61" t="str"/>
    </x:row>
  </x:sheetData>
  <x:mergeCells>
    <x:mergeCell ref="A1:F1"/>
    <x:mergeCell ref="A2:F2"/>
  </x:mergeCells>
  <x:conditionalFormatting sqref="D5:D21">
    <x:cfRule type="containsText" dxfId="6" priority="1" operator="containsText" text="已完成"/>
    <x:cfRule type="containsText" dxfId="7" priority="2" operator="containsText" text="阻塞"/>
    <x:cfRule type="containsText" dxfId="8" priority="3" operator="containsText" text="待"/>
    <x:cfRule type="containsText" dxfId="9" priority="4" operator="containsText" text="进行中"/>
  </x:conditionalFormatting>
  <x:conditionalFormatting sqref="C5:C21">
    <x:cfRule type="containsText" dxfId="10" priority="5" operator="containsText" text="待填写"/>
  </x:conditionalFormatting>
  <x:dataValidations count="1">
    <x:dataValidation type="list" sqref="D5:D21">
      <x:formula1>"未开始,进行中,待本人补充,待技术整改,已完成,不适用,阻塞"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25" hidden="0" customWidth="1"/>
    <x:col min="4" max="4" width="24" hidden="0" customWidth="1"/>
    <x:col min="5" max="5" width="33" hidden="0" customWidth="1"/>
    <x:col min="6" max="6" width="36" hidden="0" customWidth="1"/>
    <x:col min="7" max="7" width="18" hidden="0" customWidth="1"/>
  </x:cols>
  <x:sheetData>
    <x:row r="1" ht="34" customHeight="1">
      <x:c r="A1" s="67" t="str">
        <x:v>隐私、SDK 与域名清单</x:v>
      </x:c>
      <x:c r="B1" s="67"/>
      <x:c r="C1" s="67"/>
      <x:c r="D1" s="67"/>
      <x:c r="E1" s="67"/>
      <x:c r="F1" s="67"/>
      <x:c r="G1" s="67"/>
    </x:row>
    <x:row r="2" ht="38" customHeight="1">
      <x:c r="A2" s="49" t="str">
        <x:v>只声明实际版本使用的能力；任何新增登录、统计、广告、支付或权限都必须同步更新。</x:v>
      </x:c>
      <x:c r="B2" s="49"/>
      <x:c r="C2" s="49"/>
      <x:c r="D2" s="49"/>
      <x:c r="E2" s="49"/>
      <x:c r="F2" s="49"/>
      <x:c r="G2" s="49"/>
    </x:row>
    <x:row r="3">
      <x:c r="A3" s="68"/>
      <x:c r="B3" s="68"/>
      <x:c r="C3" s="68"/>
      <x:c r="D3" s="68"/>
      <x:c r="E3" s="68"/>
      <x:c r="F3" s="68"/>
      <x:c r="G3" s="68"/>
    </x:row>
    <x:row r="4" ht="28" customHeight="1">
      <x:c r="A4" s="53" t="str">
        <x:v>处理活动</x:v>
      </x:c>
      <x:c r="B4" s="53" t="str">
        <x:v>信息类型</x:v>
      </x:c>
      <x:c r="C4" s="53" t="str">
        <x:v>目的</x:v>
      </x:c>
      <x:c r="D4" s="53" t="str">
        <x:v>存储位置</x:v>
      </x:c>
      <x:c r="E4" s="53" t="str">
        <x:v>当前代码/域名</x:v>
      </x:c>
      <x:c r="F4" s="53" t="str">
        <x:v>提审处理</x:v>
      </x:c>
      <x:c r="G4" s="53" t="str">
        <x:v>状态</x:v>
      </x:c>
    </x:row>
    <x:row r="5">
      <x:c r="A5" s="56" t="str">
        <x:v>本地存档</x:v>
      </x:c>
      <x:c r="B5" s="56" t="str">
        <x:v>关卡阶段、剧情选择、存档时间、设置</x:v>
      </x:c>
      <x:c r="C5" s="56" t="str">
        <x:v>保存和恢复进度</x:v>
      </x:c>
      <x:c r="D5" s="56" t="str">
        <x:v>设备本地</x:v>
      </x:c>
      <x:c r="E5" s="56" t="str">
        <x:v>localStorage/sessionStorage</x:v>
      </x:c>
      <x:c r="F5" s="56" t="str">
        <x:v>迁移后改平台存储</x:v>
      </x:c>
      <x:c r="G5" s="56" t="str">
        <x:v>待技术整改</x:v>
      </x:c>
    </x:row>
    <x:row r="6">
      <x:c r="A6" s="58" t="str">
        <x:v>资源请求日志</x:v>
      </x:c>
      <x:c r="B6" s="58" t="str">
        <x:v>IP、请求时间、资源路径、状态、User-Agent</x:v>
      </x:c>
      <x:c r="C6" s="58" t="str">
        <x:v>加载资源、安全与排障</x:v>
      </x:c>
      <x:c r="D6" s="58" t="str">
        <x:v>开发者资源服务器</x:v>
      </x:c>
      <x:c r="E6" s="58" t="str">
        <x:v>stats.puck-muling.top</x:v>
      </x:c>
      <x:c r="F6" s="58" t="str">
        <x:v>迁移至境内并填留存期</x:v>
      </x:c>
      <x:c r="G6" s="58" t="str">
        <x:v>待技术整改</x:v>
      </x:c>
    </x:row>
    <x:row r="7">
      <x:c r="A7" s="58" t="str">
        <x:v>Umami</x:v>
      </x:c>
      <x:c r="B7" s="58" t="str">
        <x:v>访问/设备/页面统计</x:v>
      </x:c>
      <x:c r="C7" s="58" t="str">
        <x:v>访问分析</x:v>
      </x:c>
      <x:c r="D7" s="58" t="str">
        <x:v>开发者统计服务器</x:v>
      </x:c>
      <x:c r="E7" s="58" t="str">
        <x:v>stats.puck-muling.top/script.js</x:v>
      </x:c>
      <x:c r="F7" s="58" t="str">
        <x:v>提审版删除</x:v>
      </x:c>
      <x:c r="G7" s="58" t="str">
        <x:v>待技术整改</x:v>
      </x:c>
    </x:row>
    <x:row r="8">
      <x:c r="A8" s="58" t="str">
        <x:v>itch.io</x:v>
      </x:c>
      <x:c r="B8" s="58" t="str">
        <x:v>网络请求信息</x:v>
      </x:c>
      <x:c r="C8" s="58" t="str">
        <x:v>网页iframe自适应</x:v>
      </x:c>
      <x:c r="D8" s="58" t="str">
        <x:v>第三方</x:v>
      </x:c>
      <x:c r="E8" s="58" t="str">
        <x:v>static.itch.io</x:v>
      </x:c>
      <x:c r="F8" s="58" t="str">
        <x:v>小游戏提审工程删除</x:v>
      </x:c>
      <x:c r="G8" s="58" t="str">
        <x:v>待技术整改</x:v>
      </x:c>
    </x:row>
    <x:row r="9">
      <x:c r="A9" s="58" t="str">
        <x:v>账号登录</x:v>
      </x:c>
      <x:c r="B9" s="58" t="str">
        <x:v>无</x:v>
      </x:c>
      <x:c r="C9" s="58" t="str">
        <x:v>无</x:v>
      </x:c>
      <x:c r="D9" s="58" t="str">
        <x:v>无</x:v>
      </x:c>
      <x:c r="E9" s="58" t="str">
        <x:v>未发现tt.login</x:v>
      </x:c>
      <x:c r="F9" s="58" t="str">
        <x:v>保持不接入或新增后更新</x:v>
      </x:c>
      <x:c r="G9" s="58" t="str">
        <x:v>不适用</x:v>
      </x:c>
    </x:row>
    <x:row r="10">
      <x:c r="A10" s="58" t="str">
        <x:v>广告</x:v>
      </x:c>
      <x:c r="B10" s="58" t="str">
        <x:v>无</x:v>
      </x:c>
      <x:c r="C10" s="58" t="str">
        <x:v>无</x:v>
      </x:c>
      <x:c r="D10" s="58" t="str">
        <x:v>无</x:v>
      </x:c>
      <x:c r="E10" s="58" t="str">
        <x:v>未发现广告代码</x:v>
      </x:c>
      <x:c r="F10" s="58" t="str">
        <x:v>保持不接入或新增后更新</x:v>
      </x:c>
      <x:c r="G10" s="58" t="str">
        <x:v>不适用</x:v>
      </x:c>
    </x:row>
    <x:row r="11">
      <x:c r="A11" s="58" t="str">
        <x:v>支付</x:v>
      </x:c>
      <x:c r="B11" s="58" t="str">
        <x:v>无</x:v>
      </x:c>
      <x:c r="C11" s="58" t="str">
        <x:v>无</x:v>
      </x:c>
      <x:c r="D11" s="58" t="str">
        <x:v>无</x:v>
      </x:c>
      <x:c r="E11" s="58" t="str">
        <x:v>未发现支付代码</x:v>
      </x:c>
      <x:c r="F11" s="58" t="str">
        <x:v>保持不接入或新增后更新</x:v>
      </x:c>
      <x:c r="G11" s="58" t="str">
        <x:v>不适用</x:v>
      </x:c>
    </x:row>
    <x:row r="12">
      <x:c r="A12" s="61" t="str">
        <x:v>敏感权限</x:v>
      </x:c>
      <x:c r="B12" s="61" t="str">
        <x:v>无</x:v>
      </x:c>
      <x:c r="C12" s="61" t="str">
        <x:v>无</x:v>
      </x:c>
      <x:c r="D12" s="61" t="str">
        <x:v>无</x:v>
      </x:c>
      <x:c r="E12" s="61" t="str">
        <x:v>未发现位置/相机/麦克风等</x:v>
      </x:c>
      <x:c r="F12" s="61" t="str">
        <x:v>保持不申请</x:v>
      </x:c>
      <x:c r="G12" s="61" t="str">
        <x:v>不适用</x:v>
      </x:c>
    </x:row>
  </x:sheetData>
  <x:mergeCells>
    <x:mergeCell ref="A1:G1"/>
    <x:mergeCell ref="A2:G2"/>
  </x:mergeCells>
  <x:conditionalFormatting sqref="G5:G12">
    <x:cfRule type="containsText" dxfId="11" priority="1" operator="containsText" text="已完成"/>
    <x:cfRule type="containsText" dxfId="12" priority="2" operator="containsText" text="阻塞"/>
    <x:cfRule type="containsText" dxfId="13" priority="3" operator="containsText" text="待"/>
    <x:cfRule type="containsText" dxfId="14" priority="4" operator="containsText" text="进行中"/>
  </x:conditionalFormatting>
  <x:dataValidations count="1">
    <x:dataValidation type="list" sqref="G5:G12">
      <x:formula1>"未开始,进行中,待本人补充,待技术整改,已完成,不适用,阻塞"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34" hidden="0" customWidth="1"/>
    <x:col min="5" max="5" width="30" hidden="0" customWidth="1"/>
    <x:col min="6" max="6" width="38" hidden="0" customWidth="1"/>
    <x:col min="7" max="7" width="16" hidden="0" customWidth="1"/>
    <x:col min="8" max="8" width="16" hidden="0" customWidth="1"/>
  </x:cols>
  <x:sheetData>
    <x:row r="1" ht="34" customHeight="1">
      <x:c r="A1" s="67" t="str">
        <x:v>版权与 AI 素材台账</x:v>
      </x:c>
      <x:c r="B1" s="67"/>
      <x:c r="C1" s="67"/>
      <x:c r="D1" s="67"/>
      <x:c r="E1" s="67"/>
      <x:c r="F1" s="67"/>
      <x:c r="G1" s="67"/>
      <x:c r="H1" s="67"/>
    </x:row>
    <x:row r="2" ht="38" customHeight="1">
      <x:c r="A2" s="49" t="str">
        <x:v>按最终上线文件逐项扩展。每个文件应能追溯工具、提示词/来源、许可与最终哈希。</x:v>
      </x:c>
      <x:c r="B2" s="49"/>
      <x:c r="C2" s="49"/>
      <x:c r="D2" s="49"/>
      <x:c r="E2" s="49"/>
      <x:c r="F2" s="49"/>
      <x:c r="G2" s="49"/>
      <x:c r="H2" s="49"/>
    </x:row>
    <x:row r="3">
      <x:c r="A3" s="68"/>
      <x:c r="B3" s="68"/>
      <x:c r="C3" s="68"/>
      <x:c r="D3" s="68"/>
      <x:c r="E3" s="68"/>
      <x:c r="F3" s="68"/>
      <x:c r="G3" s="68"/>
      <x:c r="H3" s="68"/>
    </x:row>
    <x:row r="4" ht="28" customHeight="1">
      <x:c r="A4" s="53" t="str">
        <x:v>编号</x:v>
      </x:c>
      <x:c r="B4" s="53" t="str">
        <x:v>类别</x:v>
      </x:c>
      <x:c r="C4" s="53" t="str">
        <x:v>范围/文件</x:v>
      </x:c>
      <x:c r="D4" s="53" t="str">
        <x:v>来源</x:v>
      </x:c>
      <x:c r="E4" s="53" t="str">
        <x:v>现有证据</x:v>
      </x:c>
      <x:c r="F4" s="53" t="str">
        <x:v>缺口/动作</x:v>
      </x:c>
      <x:c r="G4" s="53" t="str">
        <x:v>优先级</x:v>
      </x:c>
      <x:c r="H4" s="53" t="str">
        <x:v>状态</x:v>
      </x:c>
    </x:row>
    <x:row r="5">
      <x:c r="A5" s="56" t="str">
        <x:v>R-001</x:v>
      </x:c>
      <x:c r="B5" s="56" t="str">
        <x:v>程序代码</x:v>
      </x:c>
      <x:c r="C5" s="56" t="str">
        <x:v>demo/src</x:v>
      </x:c>
      <x:c r="D5" s="56" t="str">
        <x:v>本人原创+开源依赖</x:v>
      </x:c>
      <x:c r="E5" s="56" t="str">
        <x:v>Git历史、LICENSE</x:v>
      </x:c>
      <x:c r="F5" s="56" t="str">
        <x:v>生成第三方许可清单</x:v>
      </x:c>
      <x:c r="G5" s="56" t="str">
        <x:v>P1</x:v>
      </x:c>
      <x:c r="H5" s="56" t="str">
        <x:v>待技术整改</x:v>
      </x:c>
    </x:row>
    <x:row r="6">
      <x:c r="A6" s="58" t="str">
        <x:v>R-002</x:v>
      </x:c>
      <x:c r="B6" s="58" t="str">
        <x:v>AI美术</x:v>
      </x:c>
      <x:c r="C6" s="58" t="str">
        <x:v>demo/public/assets</x:v>
      </x:c>
      <x:c r="D6" s="58" t="str">
        <x:v>Codex图像生成等</x:v>
      </x:c>
      <x:c r="E6" s="58" t="str">
        <x:v>任务文档、提示词</x:v>
      </x:c>
      <x:c r="F6" s="58" t="str">
        <x:v>补账号、时间、条款、哈希</x:v>
      </x:c>
      <x:c r="G6" s="58" t="str">
        <x:v>P1</x:v>
      </x:c>
      <x:c r="H6" s="58" t="str">
        <x:v>待本人补充</x:v>
      </x:c>
    </x:row>
    <x:row r="7">
      <x:c r="A7" s="58" t="str">
        <x:v>R-003</x:v>
      </x:c>
      <x:c r="B7" s="58" t="str">
        <x:v>主角参考图</x:v>
      </x:c>
      <x:c r="C7" s="58" t="str">
        <x:v>人物形象</x:v>
      </x:c>
      <x:c r="D7" s="58" t="str">
        <x:v>待确认</x:v>
      </x:c>
      <x:c r="E7" s="58" t="str">
        <x:v>参考图与提示词</x:v>
      </x:c>
      <x:c r="F7" s="58" t="str">
        <x:v>逐张确认来源与授权</x:v>
      </x:c>
      <x:c r="G7" s="58" t="str">
        <x:v>P0</x:v>
      </x:c>
      <x:c r="H7" s="58" t="str">
        <x:v>待本人补充</x:v>
      </x:c>
    </x:row>
    <x:row r="8">
      <x:c r="A8" s="58" t="str">
        <x:v>R-004</x:v>
      </x:c>
      <x:c r="B8" s="58" t="str">
        <x:v>配音</x:v>
      </x:c>
      <x:c r="C8" s="58" t="str">
        <x:v>demo/public/voice</x:v>
      </x:c>
      <x:c r="D8" s="58" t="str">
        <x:v>mmx-cli TTS</x:v>
      </x:c>
      <x:c r="E8" s="58" t="str">
        <x:v>manifest、声线表</x:v>
      </x:c>
      <x:c r="F8" s="58" t="str">
        <x:v>补商用许可快照</x:v>
      </x:c>
      <x:c r="G8" s="58" t="str">
        <x:v>P1</x:v>
      </x:c>
      <x:c r="H8" s="58" t="str">
        <x:v>待本人补充</x:v>
      </x:c>
    </x:row>
    <x:row r="9">
      <x:c r="A9" s="58" t="str">
        <x:v>R-005</x:v>
      </x:c>
      <x:c r="B9" s="58" t="str">
        <x:v>BGM</x:v>
      </x:c>
      <x:c r="C9" s="58" t="str">
        <x:v>demo/public/bgm</x:v>
      </x:c>
      <x:c r="D9" s="58" t="str">
        <x:v>mmx music</x:v>
      </x:c>
      <x:c r="E9" s="58" t="str">
        <x:v>提示词与生成记录</x:v>
      </x:c>
      <x:c r="F9" s="58" t="str">
        <x:v>补订单/条款/哈希</x:v>
      </x:c>
      <x:c r="G9" s="58" t="str">
        <x:v>P1</x:v>
      </x:c>
      <x:c r="H9" s="58" t="str">
        <x:v>待本人补充</x:v>
      </x:c>
    </x:row>
    <x:row r="10">
      <x:c r="A10" s="58" t="str">
        <x:v>R-006</x:v>
      </x:c>
      <x:c r="B10" s="58" t="str">
        <x:v>音效</x:v>
      </x:c>
      <x:c r="C10" s="58" t="str">
        <x:v>demo/public/sfx</x:v>
      </x:c>
      <x:c r="D10" s="58" t="str">
        <x:v>audio_generation/mmx</x:v>
      </x:c>
      <x:c r="E10" s="58" t="str">
        <x:v>提示词与用途表</x:v>
      </x:c>
      <x:c r="F10" s="58" t="str">
        <x:v>补订单/条款/哈希</x:v>
      </x:c>
      <x:c r="G10" s="58" t="str">
        <x:v>P1</x:v>
      </x:c>
      <x:c r="H10" s="58" t="str">
        <x:v>待本人补充</x:v>
      </x:c>
    </x:row>
    <x:row r="11">
      <x:c r="A11" s="58" t="str">
        <x:v>R-007</x:v>
      </x:c>
      <x:c r="B11" s="58" t="str">
        <x:v>字体</x:v>
      </x:c>
      <x:c r="C11" s="58" t="str">
        <x:v>系统字体栈</x:v>
      </x:c>
      <x:c r="D11" s="58" t="str">
        <x:v>未打包字体</x:v>
      </x:c>
      <x:c r="E11" s="58" t="str">
        <x:v>CSS记录</x:v>
      </x:c>
      <x:c r="F11" s="58" t="str">
        <x:v>迁移后复核</x:v>
      </x:c>
      <x:c r="G11" s="58" t="str">
        <x:v>P2</x:v>
      </x:c>
      <x:c r="H11" s="58" t="str">
        <x:v>进行中</x:v>
      </x:c>
    </x:row>
    <x:row r="12">
      <x:c r="A12" s="58" t="str">
        <x:v>R-008</x:v>
      </x:c>
      <x:c r="B12" s="58" t="str">
        <x:v>黑冰台</x:v>
      </x:c>
      <x:c r="C12" s="58" t="str">
        <x:v>剧情/场景/配音/存档</x:v>
      </x:c>
      <x:c r="D12" s="58" t="str">
        <x:v>借鉴《大秦帝国》虚构机构</x:v>
      </x:c>
      <x:c r="E12" s="58" t="str">
        <x:v>README与设定文档</x:v>
      </x:c>
      <x:c r="F12" s="58" t="str">
        <x:v>改名或取得授权</x:v>
      </x:c>
      <x:c r="G12" s="58" t="str">
        <x:v>P0</x:v>
      </x:c>
      <x:c r="H12" s="58" t="str">
        <x:v>阻塞</x:v>
      </x:c>
    </x:row>
    <x:row r="13">
      <x:c r="A13" s="58" t="str">
        <x:v>R-009</x:v>
      </x:c>
      <x:c r="B13" s="58" t="str">
        <x:v>小说素材</x:v>
      </x:c>
      <x:c r="C13" s="58" t="str">
        <x:v>docs/小说素材</x:v>
      </x:c>
      <x:c r="D13" s="58" t="str">
        <x:v>研发参考</x:v>
      </x:c>
      <x:c r="E13" s="58" t="str">
        <x:v>本地文件</x:v>
      </x:c>
      <x:c r="F13" s="58" t="str">
        <x:v>不进入发行包并防止直接复制</x:v>
      </x:c>
      <x:c r="G13" s="58" t="str">
        <x:v>P0</x:v>
      </x:c>
      <x:c r="H13" s="58" t="str">
        <x:v>待本人补充</x:v>
      </x:c>
    </x:row>
    <x:row r="14">
      <x:c r="A14" s="61" t="str">
        <x:v>R-010</x:v>
      </x:c>
      <x:c r="B14" s="61" t="str">
        <x:v>二维码与外链</x:v>
      </x:c>
      <x:c r="C14" s="61" t="str">
        <x:v>public/assets/social</x:v>
      </x:c>
      <x:c r="D14" s="61" t="str">
        <x:v>本人账号/第三方平台</x:v>
      </x:c>
      <x:c r="E14" s="61" t="str">
        <x:v>二维码与链接</x:v>
      </x:c>
      <x:c r="F14" s="61" t="str">
        <x:v>提审版移除</x:v>
      </x:c>
      <x:c r="G14" s="61" t="str">
        <x:v>P0</x:v>
      </x:c>
      <x:c r="H14" s="61" t="str">
        <x:v>待技术整改</x:v>
      </x:c>
    </x:row>
  </x:sheetData>
  <x:mergeCells>
    <x:mergeCell ref="A1:H1"/>
    <x:mergeCell ref="A2:H2"/>
  </x:mergeCells>
  <x:conditionalFormatting sqref="G5:G14">
    <x:cfRule type="containsText" dxfId="15" priority="1" operator="containsText" text="P0"/>
    <x:cfRule type="containsText" dxfId="16" priority="2" operator="containsText" text="P1"/>
  </x:conditionalFormatting>
  <x:conditionalFormatting sqref="H5:H14">
    <x:cfRule type="containsText" dxfId="17" priority="3" operator="containsText" text="已完成"/>
    <x:cfRule type="containsText" dxfId="18" priority="4" operator="containsText" text="阻塞"/>
    <x:cfRule type="containsText" dxfId="19" priority="5" operator="containsText" text="待"/>
    <x:cfRule type="containsText" dxfId="20" priority="6" operator="containsText" text="进行中"/>
  </x:conditionalFormatting>
  <x:dataValidations count="2">
    <x:dataValidation type="list" sqref="G5:G14">
      <x:formula1>"P0,P1,P2,P3"</x:formula1>
    </x:dataValidation>
    <x:dataValidation type="list" sqref="H5:H14">
      <x:formula1>"未开始,进行中,待本人补充,待技术整改,已完成,不适用,阻塞"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6" hidden="0" customWidth="1"/>
    <x:col min="5" max="5" width="44" hidden="0" customWidth="1"/>
    <x:col min="6" max="6" width="16" hidden="0" customWidth="1"/>
    <x:col min="7" max="7" width="30" hidden="0" customWidth="1"/>
  </x:cols>
  <x:sheetData>
    <x:row r="1" ht="34" customHeight="1">
      <x:c r="A1" s="67" t="str">
        <x:v>抖音小游戏技术整改</x:v>
      </x:c>
      <x:c r="B1" s="67"/>
      <x:c r="C1" s="67"/>
      <x:c r="D1" s="67"/>
      <x:c r="E1" s="67"/>
      <x:c r="F1" s="67"/>
      <x:c r="G1" s="67"/>
    </x:row>
    <x:row r="2" ht="38" customHeight="1">
      <x:c r="A2" s="49" t="str">
        <x:v>当前网页版不能直接上传。完成每项后将状态改为“已完成”，并附真机证据。</x:v>
      </x:c>
      <x:c r="B2" s="49"/>
      <x:c r="C2" s="49"/>
      <x:c r="D2" s="49"/>
      <x:c r="E2" s="49"/>
      <x:c r="F2" s="49"/>
      <x:c r="G2" s="49"/>
    </x:row>
    <x:row r="3">
      <x:c r="A3" s="68"/>
      <x:c r="B3" s="68"/>
      <x:c r="C3" s="68"/>
      <x:c r="D3" s="68"/>
      <x:c r="E3" s="68"/>
      <x:c r="F3" s="68"/>
      <x:c r="G3" s="68"/>
    </x:row>
    <x:row r="4" ht="28" customHeight="1">
      <x:c r="A4" s="53" t="str">
        <x:v>编号</x:v>
      </x:c>
      <x:c r="B4" s="53" t="str">
        <x:v>整改项</x:v>
      </x:c>
      <x:c r="C4" s="53" t="str">
        <x:v>优先级</x:v>
      </x:c>
      <x:c r="D4" s="53" t="str">
        <x:v>状态</x:v>
      </x:c>
      <x:c r="E4" s="53" t="str">
        <x:v>验收标准</x:v>
      </x:c>
      <x:c r="F4" s="53" t="str">
        <x:v>负责人</x:v>
      </x:c>
      <x:c r="G4" s="53" t="str">
        <x:v>证据链接/路径</x:v>
      </x:c>
    </x:row>
    <x:row r="5">
      <x:c r="A5" s="56" t="str">
        <x:v>T-001</x:v>
      </x:c>
      <x:c r="B5" s="56" t="str">
        <x:v>确定小游戏运行方案</x:v>
      </x:c>
      <x:c r="C5" s="56" t="str">
        <x:v>P0</x:v>
      </x:c>
      <x:c r="D5" s="56" t="str">
        <x:v>阻塞</x:v>
      </x:c>
      <x:c r="E5" s="56" t="str">
        <x:v>平台IDE真机运行</x:v>
      </x:c>
      <x:c r="F5" s="56" t="str">
        <x:v>开发</x:v>
      </x:c>
      <x:c r="G5" s="56" t="str"/>
    </x:row>
    <x:row r="6">
      <x:c r="A6" s="58" t="str">
        <x:v>T-002</x:v>
      </x:c>
      <x:c r="B6" s="58" t="str">
        <x:v>创建 project.config.json/game.json</x:v>
      </x:c>
      <x:c r="C6" s="58" t="str">
        <x:v>P0</x:v>
      </x:c>
      <x:c r="D6" s="58" t="str">
        <x:v>阻塞</x:v>
      </x:c>
      <x:c r="E6" s="58" t="str">
        <x:v>IDE可编译上传</x:v>
      </x:c>
      <x:c r="F6" s="58" t="str">
        <x:v>开发</x:v>
      </x:c>
      <x:c r="G6" s="58" t="str"/>
    </x:row>
    <x:row r="7">
      <x:c r="A7" s="58" t="str">
        <x:v>T-003</x:v>
      </x:c>
      <x:c r="B7" s="58" t="str">
        <x:v>移除ReactDOM/BrowserRouter网页入口</x:v>
      </x:c>
      <x:c r="C7" s="58" t="str">
        <x:v>P0</x:v>
      </x:c>
      <x:c r="D7" s="58" t="str">
        <x:v>待技术整改</x:v>
      </x:c>
      <x:c r="E7" s="58" t="str">
        <x:v>小游戏入口无window/document依赖</x:v>
      </x:c>
      <x:c r="F7" s="58" t="str">
        <x:v>开发</x:v>
      </x:c>
      <x:c r="G7" s="58" t="str"/>
    </x:row>
    <x:row r="8">
      <x:c r="A8" s="58" t="str">
        <x:v>T-004</x:v>
      </x:c>
      <x:c r="B8" s="58" t="str">
        <x:v>适配生命周期与切后台</x:v>
      </x:c>
      <x:c r="C8" s="58" t="str">
        <x:v>P0</x:v>
      </x:c>
      <x:c r="D8" s="58" t="str">
        <x:v>待技术整改</x:v>
      </x:c>
      <x:c r="E8" s="58" t="str">
        <x:v>恢复无卡死/重复音频</x:v>
      </x:c>
      <x:c r="F8" s="58" t="str">
        <x:v>开发</x:v>
      </x:c>
      <x:c r="G8" s="58" t="str"/>
    </x:row>
    <x:row r="9">
      <x:c r="A9" s="58" t="str">
        <x:v>T-005</x:v>
      </x:c>
      <x:c r="B9" s="58" t="str">
        <x:v>迁移本地存储</x:v>
      </x:c>
      <x:c r="C9" s="58" t="str">
        <x:v>P0</x:v>
      </x:c>
      <x:c r="D9" s="58" t="str">
        <x:v>待技术整改</x:v>
      </x:c>
      <x:c r="E9" s="58" t="str">
        <x:v>存读删与旧档兼容</x:v>
      </x:c>
      <x:c r="F9" s="58" t="str">
        <x:v>开发</x:v>
      </x:c>
      <x:c r="G9" s="58" t="str"/>
    </x:row>
    <x:row r="10">
      <x:c r="A10" s="58" t="str">
        <x:v>T-006</x:v>
      </x:c>
      <x:c r="B10" s="58" t="str">
        <x:v>迁移音频能力</x:v>
      </x:c>
      <x:c r="C10" s="58" t="str">
        <x:v>P0</x:v>
      </x:c>
      <x:c r="D10" s="58" t="str">
        <x:v>待技术整改</x:v>
      </x:c>
      <x:c r="E10" s="58" t="str">
        <x:v>BGM/配音/音效稳定</x:v>
      </x:c>
      <x:c r="F10" s="58" t="str">
        <x:v>开发</x:v>
      </x:c>
      <x:c r="G10" s="58" t="str"/>
    </x:row>
    <x:row r="11">
      <x:c r="A11" s="58" t="str">
        <x:v>T-007</x:v>
      </x:c>
      <x:c r="B11" s="58" t="str">
        <x:v>移除社交二维码和外链</x:v>
      </x:c>
      <x:c r="C11" s="58" t="str">
        <x:v>P0</x:v>
      </x:c>
      <x:c r="D11" s="58" t="str">
        <x:v>待技术整改</x:v>
      </x:c>
      <x:c r="E11" s="58" t="str">
        <x:v>全包搜索无微信/Telegram/t.me</x:v>
      </x:c>
      <x:c r="F11" s="58" t="str">
        <x:v>开发</x:v>
      </x:c>
      <x:c r="G11" s="58" t="str"/>
    </x:row>
    <x:row r="12">
      <x:c r="A12" s="58" t="str">
        <x:v>T-008</x:v>
      </x:c>
      <x:c r="B12" s="58" t="str">
        <x:v>移除Umami与itch脚本</x:v>
      </x:c>
      <x:c r="C12" s="58" t="str">
        <x:v>P0</x:v>
      </x:c>
      <x:c r="D12" s="58" t="str">
        <x:v>待技术整改</x:v>
      </x:c>
      <x:c r="E12" s="58" t="str">
        <x:v>无未声明统计与脚本</x:v>
      </x:c>
      <x:c r="F12" s="58" t="str">
        <x:v>开发</x:v>
      </x:c>
      <x:c r="G12" s="58" t="str"/>
    </x:row>
    <x:row r="13">
      <x:c r="A13" s="58" t="str">
        <x:v>T-009</x:v>
      </x:c>
      <x:c r="B13" s="58" t="str">
        <x:v>境内资源/CDN或资源入包</x:v>
      </x:c>
      <x:c r="C13" s="58" t="str">
        <x:v>P0</x:v>
      </x:c>
      <x:c r="D13" s="58" t="str">
        <x:v>待技术整改</x:v>
      </x:c>
      <x:c r="E13" s="58" t="str">
        <x:v>HTTPS、备案、白名单、弱网</x:v>
      </x:c>
      <x:c r="F13" s="58" t="str">
        <x:v>开发/本人</x:v>
      </x:c>
      <x:c r="G13" s="58" t="str"/>
    </x:row>
    <x:row r="14">
      <x:c r="A14" s="58" t="str">
        <x:v>T-010</x:v>
      </x:c>
      <x:c r="B14" s="58" t="str">
        <x:v>包体与分包</x:v>
      </x:c>
      <x:c r="C14" s="58" t="str">
        <x:v>P1</x:v>
      </x:c>
      <x:c r="D14" s="58" t="str">
        <x:v>待技术整改</x:v>
      </x:c>
      <x:c r="E14" s="58" t="str">
        <x:v>主包/章节资源/缓存策略</x:v>
      </x:c>
      <x:c r="F14" s="58" t="str">
        <x:v>开发</x:v>
      </x:c>
      <x:c r="G14" s="58" t="str"/>
    </x:row>
    <x:row r="15">
      <x:c r="A15" s="58" t="str">
        <x:v>T-011</x:v>
      </x:c>
      <x:c r="B15" s="58" t="str">
        <x:v>横屏与安全区适配</x:v>
      </x:c>
      <x:c r="C15" s="58" t="str">
        <x:v>P1</x:v>
      </x:c>
      <x:c r="D15" s="58" t="str">
        <x:v>待技术整改</x:v>
      </x:c>
      <x:c r="E15" s="58" t="str">
        <x:v>多机型无裁切遮挡</x:v>
      </x:c>
      <x:c r="F15" s="58" t="str">
        <x:v>开发</x:v>
      </x:c>
      <x:c r="G15" s="58" t="str"/>
    </x:row>
    <x:row r="16">
      <x:c r="A16" s="58" t="str">
        <x:v>T-012</x:v>
      </x:c>
      <x:c r="B16" s="58" t="str">
        <x:v>修复lodash/react-router高危依赖</x:v>
      </x:c>
      <x:c r="C16" s="58" t="str">
        <x:v>P1</x:v>
      </x:c>
      <x:c r="D16" s="58" t="str">
        <x:v>待技术整改</x:v>
      </x:c>
      <x:c r="E16" s="58" t="str">
        <x:v>生产npm audit无高危</x:v>
      </x:c>
      <x:c r="F16" s="58" t="str">
        <x:v>开发</x:v>
      </x:c>
      <x:c r="G16" s="58" t="str"/>
    </x:row>
    <x:row r="17">
      <x:c r="A17" s="58" t="str">
        <x:v>T-013</x:v>
      </x:c>
      <x:c r="B17" s="58" t="str">
        <x:v>修复两条ESLint警告</x:v>
      </x:c>
      <x:c r="C17" s="58" t="str">
        <x:v>P2</x:v>
      </x:c>
      <x:c r="D17" s="58" t="str">
        <x:v>待技术整改</x:v>
      </x:c>
      <x:c r="E17" s="58" t="str">
        <x:v>0错误0警告</x:v>
      </x:c>
      <x:c r="F17" s="58" t="str">
        <x:v>开发</x:v>
      </x:c>
      <x:c r="G17" s="58" t="str"/>
    </x:row>
    <x:row r="18">
      <x:c r="A18" s="58" t="str">
        <x:v>T-014</x:v>
      </x:c>
      <x:c r="B18" s="58" t="str">
        <x:v>全流程真机回归</x:v>
      </x:c>
      <x:c r="C18" s="58" t="str">
        <x:v>P0</x:v>
      </x:c>
      <x:c r="D18" s="58" t="str">
        <x:v>待技术整改</x:v>
      </x:c>
      <x:c r="E18" s="58" t="str">
        <x:v>标题→章末全部分支通过</x:v>
      </x:c>
      <x:c r="F18" s="58" t="str">
        <x:v>开发</x:v>
      </x:c>
      <x:c r="G18" s="58" t="str"/>
    </x:row>
    <x:row r="19">
      <x:c r="A19" s="61" t="str">
        <x:v>T-015</x:v>
      </x:c>
      <x:c r="B19" s="61" t="str">
        <x:v>多宿主端QA</x:v>
      </x:c>
      <x:c r="C19" s="61" t="str">
        <x:v>P0</x:v>
      </x:c>
      <x:c r="D19" s="61" t="str">
        <x:v>待技术整改</x:v>
      </x:c>
      <x:c r="E19" s="61" t="str">
        <x:v>按控制台默认合作App回归</x:v>
      </x:c>
      <x:c r="F19" s="61" t="str">
        <x:v>开发</x:v>
      </x:c>
      <x:c r="G19" s="61" t="str"/>
    </x:row>
  </x:sheetData>
  <x:mergeCells>
    <x:mergeCell ref="A1:G1"/>
    <x:mergeCell ref="A2:G2"/>
  </x:mergeCells>
  <x:conditionalFormatting sqref="C5:C19">
    <x:cfRule type="containsText" dxfId="21" priority="1" operator="containsText" text="P0"/>
    <x:cfRule type="containsText" dxfId="22" priority="2" operator="containsText" text="P1"/>
  </x:conditionalFormatting>
  <x:conditionalFormatting sqref="D5:D19">
    <x:cfRule type="containsText" dxfId="23" priority="3" operator="containsText" text="已完成"/>
    <x:cfRule type="containsText" dxfId="24" priority="4" operator="containsText" text="阻塞"/>
    <x:cfRule type="containsText" dxfId="25" priority="5" operator="containsText" text="待"/>
    <x:cfRule type="containsText" dxfId="26" priority="6" operator="containsText" text="进行中"/>
  </x:conditionalFormatting>
  <x:dataValidations count="2">
    <x:dataValidation type="list" sqref="C5:C19">
      <x:formula1>"P0,P1,P2,P3"</x:formula1>
    </x:dataValidation>
    <x:dataValidation type="list" sqref="D5:D19">
      <x:formula1>"未开始,进行中,待本人补充,待技术整改,已完成,不适用,阻塞"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52" hidden="0" customWidth="1"/>
    <x:col min="4" max="4" width="18" hidden="0" customWidth="1"/>
    <x:col min="5" max="5" width="18" hidden="0" customWidth="1"/>
    <x:col min="6" max="6" width="35" hidden="0" customWidth="1"/>
    <x:col min="7" max="7" width="35" hidden="0" customWidth="1"/>
    <x:col min="8" max="8" width="18" hidden="0" customWidth="1"/>
  </x:cols>
  <x:sheetData>
    <x:row r="1" ht="34" customHeight="1">
      <x:c r="A1" s="67" t="str">
        <x:v>版本提审与发布记录</x:v>
      </x:c>
      <x:c r="B1" s="67"/>
      <x:c r="C1" s="67"/>
      <x:c r="D1" s="67"/>
      <x:c r="E1" s="67"/>
      <x:c r="F1" s="67"/>
      <x:c r="G1" s="67"/>
      <x:c r="H1" s="67"/>
    </x:row>
    <x:row r="2" ht="38" customHeight="1">
      <x:c r="A2" s="49" t="str">
        <x:v>首次建议版本 1.0.0。每次提交记录截图、版本号、驳回原因和修复证据。</x:v>
      </x:c>
      <x:c r="B2" s="49"/>
      <x:c r="C2" s="49"/>
      <x:c r="D2" s="49"/>
      <x:c r="E2" s="49"/>
      <x:c r="F2" s="49"/>
      <x:c r="G2" s="49"/>
      <x:c r="H2" s="49"/>
    </x:row>
    <x:row r="3">
      <x:c r="A3" s="68"/>
      <x:c r="B3" s="68"/>
      <x:c r="C3" s="68"/>
      <x:c r="D3" s="68"/>
      <x:c r="E3" s="68"/>
      <x:c r="F3" s="68"/>
      <x:c r="G3" s="68"/>
      <x:c r="H3" s="68"/>
    </x:row>
    <x:row r="4" ht="28" customHeight="1">
      <x:c r="A4" s="53" t="str">
        <x:v>版本</x:v>
      </x:c>
      <x:c r="B4" s="53" t="str">
        <x:v>类型</x:v>
      </x:c>
      <x:c r="C4" s="53" t="str">
        <x:v>更新说明</x:v>
      </x:c>
      <x:c r="D4" s="53" t="str">
        <x:v>上传时间</x:v>
      </x:c>
      <x:c r="E4" s="53" t="str">
        <x:v>审核结果</x:v>
      </x:c>
      <x:c r="F4" s="53" t="str">
        <x:v>驳回原因</x:v>
      </x:c>
      <x:c r="G4" s="53" t="str">
        <x:v>修复提交</x:v>
      </x:c>
      <x:c r="H4" s="53" t="str">
        <x:v>发布时间</x:v>
      </x:c>
    </x:row>
    <x:row r="5">
      <x:c r="A5" s="56" t="str">
        <x:v>1.0.0</x:v>
      </x:c>
      <x:c r="B5" s="56" t="str">
        <x:v>首次提审</x:v>
      </x:c>
      <x:c r="C5" s="56" t="str">
        <x:v>序章+第一章；剧情、调查、战斗、存档、结算</x:v>
      </x:c>
      <x:c r="D5" s="56" t="str">
        <x:v>【待填写】</x:v>
      </x:c>
      <x:c r="E5" s="56" t="str">
        <x:v>未提交</x:v>
      </x:c>
      <x:c r="F5" s="56" t="str"/>
      <x:c r="G5" s="56" t="str"/>
      <x:c r="H5" s="56" t="str"/>
    </x:row>
    <x:row r="6">
      <x:c r="A6" s="58"/>
      <x:c r="B6" s="58"/>
      <x:c r="C6" s="58"/>
      <x:c r="D6" s="58"/>
      <x:c r="E6" s="58"/>
      <x:c r="F6" s="58"/>
      <x:c r="G6" s="58"/>
      <x:c r="H6" s="58"/>
    </x:row>
    <x:row r="7">
      <x:c r="A7" s="58"/>
      <x:c r="B7" s="58"/>
      <x:c r="C7" s="58"/>
      <x:c r="D7" s="58"/>
      <x:c r="E7" s="58"/>
      <x:c r="F7" s="58"/>
      <x:c r="G7" s="58"/>
      <x:c r="H7" s="58"/>
    </x:row>
    <x:row r="8">
      <x:c r="A8" s="58"/>
      <x:c r="B8" s="58"/>
      <x:c r="C8" s="58"/>
      <x:c r="D8" s="58"/>
      <x:c r="E8" s="58"/>
      <x:c r="F8" s="58"/>
      <x:c r="G8" s="58"/>
      <x:c r="H8" s="58"/>
    </x:row>
    <x:row r="9">
      <x:c r="A9" s="58"/>
      <x:c r="B9" s="58"/>
      <x:c r="C9" s="58"/>
      <x:c r="D9" s="58"/>
      <x:c r="E9" s="58"/>
      <x:c r="F9" s="58"/>
      <x:c r="G9" s="58"/>
      <x:c r="H9" s="58"/>
    </x:row>
    <x:row r="10">
      <x:c r="A10" s="58"/>
      <x:c r="B10" s="58"/>
      <x:c r="C10" s="58"/>
      <x:c r="D10" s="58"/>
      <x:c r="E10" s="58"/>
      <x:c r="F10" s="58"/>
      <x:c r="G10" s="58"/>
      <x:c r="H10" s="58"/>
    </x:row>
    <x:row r="11">
      <x:c r="A11" s="58"/>
      <x:c r="B11" s="58"/>
      <x:c r="C11" s="58"/>
      <x:c r="D11" s="58"/>
      <x:c r="E11" s="58"/>
      <x:c r="F11" s="58"/>
      <x:c r="G11" s="58"/>
      <x:c r="H11" s="58"/>
    </x:row>
    <x:row r="12">
      <x:c r="A12" s="58"/>
      <x:c r="B12" s="58"/>
      <x:c r="C12" s="58"/>
      <x:c r="D12" s="58"/>
      <x:c r="E12" s="58"/>
      <x:c r="F12" s="58"/>
      <x:c r="G12" s="58"/>
      <x:c r="H12" s="58"/>
    </x:row>
    <x:row r="13">
      <x:c r="A13" s="58"/>
      <x:c r="B13" s="58"/>
      <x:c r="C13" s="58"/>
      <x:c r="D13" s="58"/>
      <x:c r="E13" s="58"/>
      <x:c r="F13" s="58"/>
      <x:c r="G13" s="58"/>
      <x:c r="H13" s="58"/>
    </x:row>
    <x:row r="14">
      <x:c r="A14" s="58"/>
      <x:c r="B14" s="58"/>
      <x:c r="C14" s="58"/>
      <x:c r="D14" s="58"/>
      <x:c r="E14" s="58"/>
      <x:c r="F14" s="58"/>
      <x:c r="G14" s="58"/>
      <x:c r="H14" s="58"/>
    </x:row>
    <x:row r="15">
      <x:c r="A15" s="58"/>
      <x:c r="B15" s="58"/>
      <x:c r="C15" s="58"/>
      <x:c r="D15" s="58"/>
      <x:c r="E15" s="58"/>
      <x:c r="F15" s="58"/>
      <x:c r="G15" s="58"/>
      <x:c r="H15" s="58"/>
    </x:row>
    <x:row r="16">
      <x:c r="A16" s="58"/>
      <x:c r="B16" s="58"/>
      <x:c r="C16" s="58"/>
      <x:c r="D16" s="58"/>
      <x:c r="E16" s="58"/>
      <x:c r="F16" s="58"/>
      <x:c r="G16" s="58"/>
      <x:c r="H16" s="58"/>
    </x:row>
    <x:row r="17">
      <x:c r="A17" s="58"/>
      <x:c r="B17" s="58"/>
      <x:c r="C17" s="58"/>
      <x:c r="D17" s="58"/>
      <x:c r="E17" s="58"/>
      <x:c r="F17" s="58"/>
      <x:c r="G17" s="58"/>
      <x:c r="H17" s="58"/>
    </x:row>
    <x:row r="18">
      <x:c r="A18" s="58"/>
      <x:c r="B18" s="58"/>
      <x:c r="C18" s="58"/>
      <x:c r="D18" s="58"/>
      <x:c r="E18" s="58"/>
      <x:c r="F18" s="58"/>
      <x:c r="G18" s="58"/>
      <x:c r="H18" s="58"/>
    </x:row>
    <x:row r="19">
      <x:c r="A19" s="58"/>
      <x:c r="B19" s="58"/>
      <x:c r="C19" s="58"/>
      <x:c r="D19" s="58"/>
      <x:c r="E19" s="58"/>
      <x:c r="F19" s="58"/>
      <x:c r="G19" s="58"/>
      <x:c r="H19" s="58"/>
    </x:row>
    <x:row r="20">
      <x:c r="A20" s="61"/>
      <x:c r="B20" s="61"/>
      <x:c r="C20" s="61"/>
      <x:c r="D20" s="61"/>
      <x:c r="E20" s="61"/>
      <x:c r="F20" s="61"/>
      <x:c r="G20" s="61"/>
      <x:c r="H20" s="61"/>
    </x:row>
  </x:sheetData>
  <x:mergeCells>
    <x:mergeCell ref="A1:H1"/>
    <x:mergeCell ref="A2:H2"/>
  </x:mergeCells>
  <x:conditionalFormatting sqref="E5:E20">
    <x:cfRule type="containsText" dxfId="27" priority="1" operator="containsText" text="通过"/>
    <x:cfRule type="containsText" dxfId="28" priority="2" operator="containsText" text="驳回"/>
  </x:conditionalFormatting>
  <x:dataValidations count="1">
    <x:dataValidation type="list" sqref="E5:E20">
      <x:formula1>"未提交,审核中,通过,驳回,已发布"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2" hidden="0" customWidth="1"/>
    <x:col min="3" max="3" width="42" hidden="0" customWidth="1"/>
  </x:cols>
  <x:sheetData>
    <x:row r="1" ht="34" customHeight="1">
      <x:c r="A1" s="67" t="str">
        <x:v>抖音官方规则来源</x:v>
      </x:c>
      <x:c r="B1" s="67"/>
      <x:c r="C1" s="67"/>
    </x:row>
    <x:row r="2" ht="38" customHeight="1">
      <x:c r="A2" s="49" t="str">
        <x:v>提交当天再次打开核对，以控制台实际字段和最新规则为准。</x:v>
      </x:c>
      <x:c r="B2" s="49"/>
      <x:c r="C2" s="49"/>
    </x:row>
    <x:row r="3">
      <x:c r="A3" s="68"/>
      <x:c r="B3" s="68"/>
      <x:c r="C3" s="68"/>
    </x:row>
    <x:row r="4" ht="28" customHeight="1">
      <x:c r="A4" s="53" t="str">
        <x:v>文档</x:v>
      </x:c>
      <x:c r="B4" s="53" t="str">
        <x:v>URL</x:v>
      </x:c>
      <x:c r="C4" s="53" t="str">
        <x:v>用途</x:v>
      </x:c>
    </x:row>
    <x:row r="5">
      <x:c r="A5" s="56" t="str">
        <x:v>创建与信息完善</x:v>
      </x:c>
      <x:c r="B5" s="56" t="str">
        <x:v>https://developer.open-douyin.com/docs/resource/zh-CN/mini-game/guide/minigame/improve-information</x:v>
      </x:c>
      <x:c r="C5" s="56" t="str">
        <x:v>基础信息、自审、隐私、适龄</x:v>
      </x:c>
    </x:row>
    <x:row r="6">
      <x:c r="A6" s="58" t="str">
        <x:v>小游戏基础信息审核规范</x:v>
      </x:c>
      <x:c r="B6" s="58" t="str">
        <x:v>https://developer.open-douyin.com/docs/resource/zh-CN/mini-game/operation1/norms/game-info-audit</x:v>
      </x:c>
      <x:c r="C6" s="58" t="str">
        <x:v>名称、简介、详细介绍、分类、图标</x:v>
      </x:c>
    </x:row>
    <x:row r="7">
      <x:c r="A7" s="58" t="str">
        <x:v>小游戏备案申报</x:v>
      </x:c>
      <x:c r="B7" s="58" t="str">
        <x:v>https://developer.open-douyin.com/docs/resource/zh-CN/mini-game/guide/minigame/game-filing-application-works</x:v>
      </x:c>
      <x:c r="C7" s="58" t="str">
        <x:v>基本信息+版本通过后自动申报</x:v>
      </x:c>
    </x:row>
    <x:row r="8">
      <x:c r="A8" s="58" t="str">
        <x:v>个人主体小程序备案流程</x:v>
      </x:c>
      <x:c r="B8" s="58" t="str">
        <x:v>https://developer.open-douyin.com/docs/resource/zh-CN/mini-app/operation/miniapp-creation/ICPFiling/personalminibrogramicp</x:v>
      </x:c>
      <x:c r="C8" s="58" t="str">
        <x:v>个人ICP材料和时序</x:v>
      </x:c>
    </x:row>
    <x:row r="9">
      <x:c r="A9" s="58" t="str">
        <x:v>小游戏资质规范</x:v>
      </x:c>
      <x:c r="B9" s="58" t="str">
        <x:v>https://developer.open-douyin.com/docs/resource/zh-CN/mini-game/operation1/norms/credential-norms-for-mini-game</x:v>
      </x:c>
      <x:c r="C9" s="58" t="str">
        <x:v>软著、授权、一致性</x:v>
      </x:c>
    </x:row>
    <x:row r="10">
      <x:c r="A10" s="58" t="str">
        <x:v>版本提审指引</x:v>
      </x:c>
      <x:c r="B10" s="58" t="str">
        <x:v>https://developer.open-douyin.com/docs/resource/zh-CN/mini-game/guide/minigame/examineguide</x:v>
      </x:c>
      <x:c r="C10" s="58" t="str">
        <x:v>上传、三张截图、安全域名、多端QA</x:v>
      </x:c>
    </x:row>
    <x:row r="11">
      <x:c r="A11" s="58" t="str">
        <x:v>适龄篇</x:v>
      </x:c>
      <x:c r="B11" s="58" t="str">
        <x:v>https://developer.open-douyin.com/docs/resource/zh-CN/mini-game/guide/contactus/age</x:v>
      </x:c>
      <x:c r="C11" s="58" t="str">
        <x:v>8+/12+/16+评估</x:v>
      </x:c>
    </x:row>
    <x:row r="12">
      <x:c r="A12" s="58" t="str">
        <x:v>小游戏行为规范</x:v>
      </x:c>
      <x:c r="B12" s="58" t="str">
        <x:v>https://developer.open-douyin.com/docs/resource/zh-CN/mini-game/operation1/norms/game-rule</x:v>
      </x:c>
      <x:c r="C12" s="58" t="str">
        <x:v>内容、隐私、用户行为</x:v>
      </x:c>
    </x:row>
    <x:row r="13">
      <x:c r="A13" s="61" t="str">
        <x:v>安全侵权篇</x:v>
      </x:c>
      <x:c r="B13" s="61" t="str">
        <x:v>https://developer.open-douyin.com/docs/resource/zh-CN/mini-game/guide/contactus/security-infringement</x:v>
      </x:c>
      <x:c r="C13" s="61" t="str">
        <x:v>暴力、血腥、侵权审查</x:v>
      </x:c>
    </x:row>
  </x:sheetData>
  <x:mergeCells>
    <x:mergeCell ref="A1:C1"/>
    <x:mergeCell ref="A2:C2"/>
  </x:mergeCells>
  <x:pageMargins left="0.7" right="0.7" top="0.75" bottom="0.75" header="0.3" footer="0.3"/>
</x:worksheet>
</file>